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KAIST\2021\FALL\Z(기타)\새내기학생회 비행\후새기\개발\소팀1 2021.08.26\"/>
    </mc:Choice>
  </mc:AlternateContent>
  <xr:revisionPtr revIDLastSave="0" documentId="13_ncr:1_{350E59A6-A001-4E6B-AF9F-CE13B8CABCB0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3" i="13" l="1"/>
  <c r="B93" i="13"/>
  <c r="R4" i="1" l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<sst xmlns="http://schemas.openxmlformats.org/spreadsheetml/2006/main" count="211" uniqueCount="67">
  <si>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</si>
  <si>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</si>
  <si>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</si>
  <si>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</si>
  <si>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</si>
  <si>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</si>
  <si>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</si>
  <si>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</si>
  <si>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</si>
  <si>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</si>
  <si>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</si>
  <si>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</si>
  <si>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</si>
  <si>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</si>
  <si>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</si>
  <si>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</si>
  <si>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</si>
  <si>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</si>
  <si>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</si>
  <si>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</si>
  <si>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</si>
  <si>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</si>
  <si>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</si>
  <si>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</si>
  <si>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</si>
  <si>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</si>
  <si>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</si>
  <si>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</si>
  <si>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</si>
  <si>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</si>
  <si>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</si>
  <si>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</si>
  <si>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</si>
  <si>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</si>
  <si>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</si>
  <si>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</si>
  <si>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</si>
  <si>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</si>
  <si>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</si>
  <si>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</si>
  <si>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</si>
  <si>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</si>
  <si>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</si>
  <si>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</si>
  <si>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</si>
  <si>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</si>
  <si>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</si>
  <si>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</si>
  <si>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</si>
  <si>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</si>
  <si>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</si>
  <si>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</si>
  <si>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</si>
  <si>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</si>
  <si>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</si>
  <si>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abc</t>
    <phoneticPr fontId="3" type="noConversion"/>
  </si>
  <si>
    <t>def</t>
    <phoneticPr fontId="3" type="noConversion"/>
  </si>
  <si>
    <t>ghi</t>
    <phoneticPr fontId="3" type="noConversion"/>
  </si>
  <si>
    <t>jkl</t>
    <phoneticPr fontId="3" type="noConversion"/>
  </si>
  <si>
    <t>mno</t>
    <phoneticPr fontId="3" type="noConversion"/>
  </si>
  <si>
    <t>pqr</t>
    <phoneticPr fontId="3" type="noConversion"/>
  </si>
  <si>
    <t>stu</t>
    <phoneticPr fontId="3" type="noConversion"/>
  </si>
  <si>
    <t>vwx</t>
    <phoneticPr fontId="3" type="noConversion"/>
  </si>
  <si>
    <t>yz</t>
    <phoneticPr fontId="3" type="noConversion"/>
  </si>
  <si>
    <t>0</t>
    <phoneticPr fontId="3" type="noConversion"/>
  </si>
  <si>
    <t>bronze</t>
    <phoneticPr fontId="3" type="noConversion"/>
  </si>
  <si>
    <t>,299000,100000,,,,,,301000,100000,,,,,,299000,100000,,,,,,301000,100000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300000,100000,,,,,,15000,0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</si>
</sst>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B1" activePane="topRight" state="frozen"/>
      <selection pane="topRight" activeCell="C3" sqref="C3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2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50</v>
      </c>
      <c r="J1" s="71"/>
      <c r="K1" s="71"/>
      <c r="L1" s="71"/>
      <c r="M1" s="71"/>
      <c r="N1" s="43" t="s">
        <v>8</v>
      </c>
      <c r="O1" s="14">
        <v>15000</v>
      </c>
      <c r="P1" s="73" t="s">
        <v>21</v>
      </c>
      <c r="Q1" s="76" t="s">
        <v>35</v>
      </c>
      <c r="R1" s="88" t="s">
        <v>44</v>
      </c>
      <c r="S1" s="89"/>
      <c r="T1" s="89"/>
      <c r="U1" s="90"/>
      <c r="V1" s="79" t="s">
        <v>49</v>
      </c>
      <c r="W1" s="71" t="s">
        <v>51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45</v>
      </c>
      <c r="S2" s="91" t="s">
        <v>46</v>
      </c>
      <c r="T2" s="91" t="s">
        <v>47</v>
      </c>
      <c r="U2" s="91" t="s">
        <v>48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52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54</v>
      </c>
    </row>
    <row r="4" spans="1:29">
      <c r="A4" s="26">
        <v>1</v>
      </c>
      <c r="B4" s="37" t="s">
        <v>36</v>
      </c>
      <c r="C4" s="62">
        <v>299000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100000</v>
      </c>
      <c r="Q4" s="45">
        <v>0</v>
      </c>
      <c r="R4" s="49">
        <f>RANK(N4,$N$4:$N$33)</f>
        <v>1</v>
      </c>
      <c r="S4" s="50">
        <f>RANK(C4,$C$4:$C$33)</f>
        <v>29</v>
      </c>
      <c r="T4" s="51">
        <f>R4*100+S4</f>
        <v>129</v>
      </c>
      <c r="U4" s="52">
        <f>RANK(T4,$T$4:$T$33,1)</f>
        <v>29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37</v>
      </c>
      <c r="C5" s="63">
        <v>301000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100000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38</v>
      </c>
      <c r="C6" s="63">
        <v>299000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100000</v>
      </c>
      <c r="Q6" s="46">
        <v>0</v>
      </c>
      <c r="R6" s="53">
        <f t="shared" si="0"/>
        <v>1</v>
      </c>
      <c r="S6" s="44">
        <f t="shared" si="1"/>
        <v>29</v>
      </c>
      <c r="T6" s="54">
        <f t="shared" si="2"/>
        <v>129</v>
      </c>
      <c r="U6" s="55">
        <f t="shared" si="3"/>
        <v>29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301000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100000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300000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100000</v>
      </c>
      <c r="Q8" s="46">
        <v>0</v>
      </c>
      <c r="R8" s="53">
        <f t="shared" si="0"/>
        <v>1</v>
      </c>
      <c r="S8" s="44">
        <f t="shared" si="1"/>
        <v>3</v>
      </c>
      <c r="T8" s="54">
        <f t="shared" si="2"/>
        <v>103</v>
      </c>
      <c r="U8" s="55">
        <f t="shared" si="3"/>
        <v>3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39</v>
      </c>
      <c r="C9" s="63">
        <v>300000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100000</v>
      </c>
      <c r="Q9" s="46">
        <v>0</v>
      </c>
      <c r="R9" s="53">
        <f t="shared" si="0"/>
        <v>1</v>
      </c>
      <c r="S9" s="44">
        <f t="shared" si="1"/>
        <v>3</v>
      </c>
      <c r="T9" s="54">
        <f t="shared" si="2"/>
        <v>103</v>
      </c>
      <c r="U9" s="55">
        <f t="shared" si="3"/>
        <v>3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40</v>
      </c>
      <c r="C10" s="63">
        <v>300000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100000</v>
      </c>
      <c r="Q10" s="46">
        <v>0</v>
      </c>
      <c r="R10" s="53">
        <f t="shared" si="0"/>
        <v>1</v>
      </c>
      <c r="S10" s="44">
        <f t="shared" si="1"/>
        <v>3</v>
      </c>
      <c r="T10" s="54">
        <f t="shared" si="2"/>
        <v>103</v>
      </c>
      <c r="U10" s="55">
        <f t="shared" si="3"/>
        <v>3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41</v>
      </c>
      <c r="C11" s="63">
        <v>300000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100000</v>
      </c>
      <c r="Q11" s="46">
        <v>0</v>
      </c>
      <c r="R11" s="53">
        <f t="shared" si="0"/>
        <v>1</v>
      </c>
      <c r="S11" s="44">
        <f t="shared" si="1"/>
        <v>3</v>
      </c>
      <c r="T11" s="54">
        <f t="shared" si="2"/>
        <v>103</v>
      </c>
      <c r="U11" s="55">
        <f t="shared" si="3"/>
        <v>3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300000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100000</v>
      </c>
      <c r="Q12" s="46">
        <v>0</v>
      </c>
      <c r="R12" s="53">
        <f t="shared" si="0"/>
        <v>1</v>
      </c>
      <c r="S12" s="44">
        <f t="shared" si="1"/>
        <v>3</v>
      </c>
      <c r="T12" s="54">
        <f t="shared" si="2"/>
        <v>103</v>
      </c>
      <c r="U12" s="55">
        <f t="shared" si="3"/>
        <v>3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300000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100000</v>
      </c>
      <c r="Q13" s="46">
        <v>0</v>
      </c>
      <c r="R13" s="53">
        <f t="shared" si="0"/>
        <v>1</v>
      </c>
      <c r="S13" s="44">
        <f t="shared" si="1"/>
        <v>3</v>
      </c>
      <c r="T13" s="54">
        <f t="shared" si="2"/>
        <v>103</v>
      </c>
      <c r="U13" s="55">
        <f t="shared" si="3"/>
        <v>3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300000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100000</v>
      </c>
      <c r="Q14" s="46">
        <v>0</v>
      </c>
      <c r="R14" s="53">
        <f t="shared" si="0"/>
        <v>1</v>
      </c>
      <c r="S14" s="44">
        <f t="shared" si="1"/>
        <v>3</v>
      </c>
      <c r="T14" s="54">
        <f t="shared" si="2"/>
        <v>103</v>
      </c>
      <c r="U14" s="55">
        <f t="shared" si="3"/>
        <v>3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42</v>
      </c>
      <c r="C15" s="63">
        <v>300000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100000</v>
      </c>
      <c r="Q15" s="46">
        <v>0</v>
      </c>
      <c r="R15" s="53">
        <f t="shared" si="0"/>
        <v>1</v>
      </c>
      <c r="S15" s="44">
        <f t="shared" si="1"/>
        <v>3</v>
      </c>
      <c r="T15" s="54">
        <f t="shared" si="2"/>
        <v>103</v>
      </c>
      <c r="U15" s="55">
        <f t="shared" si="3"/>
        <v>3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300000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100000</v>
      </c>
      <c r="Q16" s="46">
        <v>0</v>
      </c>
      <c r="R16" s="53">
        <f t="shared" si="0"/>
        <v>1</v>
      </c>
      <c r="S16" s="44">
        <f t="shared" si="1"/>
        <v>3</v>
      </c>
      <c r="T16" s="54">
        <f t="shared" si="2"/>
        <v>103</v>
      </c>
      <c r="U16" s="55">
        <f t="shared" si="3"/>
        <v>3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300000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100000</v>
      </c>
      <c r="Q17" s="46">
        <v>0</v>
      </c>
      <c r="R17" s="53">
        <f t="shared" si="0"/>
        <v>1</v>
      </c>
      <c r="S17" s="44">
        <f t="shared" si="1"/>
        <v>3</v>
      </c>
      <c r="T17" s="54">
        <f t="shared" si="2"/>
        <v>103</v>
      </c>
      <c r="U17" s="55">
        <f t="shared" si="3"/>
        <v>3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300000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100000</v>
      </c>
      <c r="Q18" s="46">
        <v>0</v>
      </c>
      <c r="R18" s="53">
        <f t="shared" si="0"/>
        <v>1</v>
      </c>
      <c r="S18" s="44">
        <f t="shared" si="1"/>
        <v>3</v>
      </c>
      <c r="T18" s="54">
        <f t="shared" si="2"/>
        <v>103</v>
      </c>
      <c r="U18" s="55">
        <f t="shared" si="3"/>
        <v>3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300000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100000</v>
      </c>
      <c r="Q19" s="46">
        <v>0</v>
      </c>
      <c r="R19" s="53">
        <f t="shared" si="0"/>
        <v>1</v>
      </c>
      <c r="S19" s="44">
        <f t="shared" si="1"/>
        <v>3</v>
      </c>
      <c r="T19" s="54">
        <f t="shared" si="2"/>
        <v>103</v>
      </c>
      <c r="U19" s="55">
        <f t="shared" si="3"/>
        <v>3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300000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100000</v>
      </c>
      <c r="Q20" s="46">
        <v>0</v>
      </c>
      <c r="R20" s="53">
        <f t="shared" si="0"/>
        <v>1</v>
      </c>
      <c r="S20" s="44">
        <f t="shared" si="1"/>
        <v>3</v>
      </c>
      <c r="T20" s="54">
        <f t="shared" si="2"/>
        <v>103</v>
      </c>
      <c r="U20" s="55">
        <f t="shared" si="3"/>
        <v>3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300000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100000</v>
      </c>
      <c r="Q21" s="46">
        <v>0</v>
      </c>
      <c r="R21" s="53">
        <f t="shared" si="0"/>
        <v>1</v>
      </c>
      <c r="S21" s="44">
        <f t="shared" si="1"/>
        <v>3</v>
      </c>
      <c r="T21" s="54">
        <f t="shared" si="2"/>
        <v>103</v>
      </c>
      <c r="U21" s="55">
        <f t="shared" si="3"/>
        <v>3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300000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100000</v>
      </c>
      <c r="Q22" s="46">
        <v>0</v>
      </c>
      <c r="R22" s="53">
        <f t="shared" si="0"/>
        <v>1</v>
      </c>
      <c r="S22" s="44">
        <f t="shared" si="1"/>
        <v>3</v>
      </c>
      <c r="T22" s="54">
        <f t="shared" si="2"/>
        <v>103</v>
      </c>
      <c r="U22" s="55">
        <f t="shared" si="3"/>
        <v>3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300000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100000</v>
      </c>
      <c r="Q23" s="46">
        <v>0</v>
      </c>
      <c r="R23" s="53">
        <f t="shared" si="0"/>
        <v>1</v>
      </c>
      <c r="S23" s="44">
        <f t="shared" si="1"/>
        <v>3</v>
      </c>
      <c r="T23" s="54">
        <f t="shared" si="2"/>
        <v>103</v>
      </c>
      <c r="U23" s="55">
        <f t="shared" si="3"/>
        <v>3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300000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100000</v>
      </c>
      <c r="Q24" s="46">
        <v>0</v>
      </c>
      <c r="R24" s="53">
        <f t="shared" si="0"/>
        <v>1</v>
      </c>
      <c r="S24" s="44">
        <f t="shared" si="1"/>
        <v>3</v>
      </c>
      <c r="T24" s="54">
        <f t="shared" si="2"/>
        <v>103</v>
      </c>
      <c r="U24" s="55">
        <f t="shared" si="3"/>
        <v>3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55</v>
      </c>
      <c r="C25" s="63">
        <v>300000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100000</v>
      </c>
      <c r="Q25" s="46">
        <v>0</v>
      </c>
      <c r="R25" s="53">
        <f t="shared" si="0"/>
        <v>1</v>
      </c>
      <c r="S25" s="44">
        <f t="shared" si="1"/>
        <v>3</v>
      </c>
      <c r="T25" s="54">
        <f t="shared" si="2"/>
        <v>103</v>
      </c>
      <c r="U25" s="55">
        <f t="shared" si="3"/>
        <v>3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56</v>
      </c>
      <c r="C26" s="63">
        <v>300000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100000</v>
      </c>
      <c r="Q26" s="46">
        <v>0</v>
      </c>
      <c r="R26" s="53">
        <f t="shared" si="0"/>
        <v>1</v>
      </c>
      <c r="S26" s="44">
        <f t="shared" si="1"/>
        <v>3</v>
      </c>
      <c r="T26" s="54">
        <f t="shared" si="2"/>
        <v>103</v>
      </c>
      <c r="U26" s="55">
        <f t="shared" si="3"/>
        <v>3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57</v>
      </c>
      <c r="C27" s="63">
        <v>300000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100000</v>
      </c>
      <c r="Q27" s="46">
        <v>0</v>
      </c>
      <c r="R27" s="53">
        <f t="shared" si="0"/>
        <v>1</v>
      </c>
      <c r="S27" s="44">
        <f t="shared" si="1"/>
        <v>3</v>
      </c>
      <c r="T27" s="54">
        <f t="shared" si="2"/>
        <v>103</v>
      </c>
      <c r="U27" s="55">
        <f t="shared" si="3"/>
        <v>3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58</v>
      </c>
      <c r="C28" s="63">
        <v>300000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100000</v>
      </c>
      <c r="Q28" s="46">
        <v>0</v>
      </c>
      <c r="R28" s="53">
        <f t="shared" si="0"/>
        <v>1</v>
      </c>
      <c r="S28" s="44">
        <f t="shared" si="1"/>
        <v>3</v>
      </c>
      <c r="T28" s="54">
        <f t="shared" si="2"/>
        <v>103</v>
      </c>
      <c r="U28" s="55">
        <f t="shared" si="3"/>
        <v>3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59</v>
      </c>
      <c r="C29" s="63">
        <v>300000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100000</v>
      </c>
      <c r="Q29" s="46">
        <v>0</v>
      </c>
      <c r="R29" s="53">
        <f t="shared" si="0"/>
        <v>1</v>
      </c>
      <c r="S29" s="44">
        <f t="shared" si="1"/>
        <v>3</v>
      </c>
      <c r="T29" s="54">
        <f t="shared" si="2"/>
        <v>103</v>
      </c>
      <c r="U29" s="55">
        <f t="shared" si="3"/>
        <v>3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60</v>
      </c>
      <c r="C30" s="63">
        <v>300000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100000</v>
      </c>
      <c r="Q30" s="46">
        <v>0</v>
      </c>
      <c r="R30" s="53">
        <f t="shared" si="0"/>
        <v>1</v>
      </c>
      <c r="S30" s="44">
        <f t="shared" si="1"/>
        <v>3</v>
      </c>
      <c r="T30" s="54">
        <f t="shared" si="2"/>
        <v>103</v>
      </c>
      <c r="U30" s="55">
        <f t="shared" si="3"/>
        <v>3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61</v>
      </c>
      <c r="C31" s="63">
        <v>300000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100000</v>
      </c>
      <c r="Q31" s="46">
        <v>0</v>
      </c>
      <c r="R31" s="53">
        <f t="shared" si="0"/>
        <v>1</v>
      </c>
      <c r="S31" s="44">
        <f t="shared" si="1"/>
        <v>3</v>
      </c>
      <c r="T31" s="54">
        <f t="shared" si="2"/>
        <v>103</v>
      </c>
      <c r="U31" s="55">
        <f t="shared" si="3"/>
        <v>3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62</v>
      </c>
      <c r="C32" s="63">
        <v>300000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100000</v>
      </c>
      <c r="Q32" s="46">
        <v>0</v>
      </c>
      <c r="R32" s="53">
        <f t="shared" si="0"/>
        <v>1</v>
      </c>
      <c r="S32" s="44">
        <f t="shared" si="1"/>
        <v>3</v>
      </c>
      <c r="T32" s="54">
        <f t="shared" si="2"/>
        <v>103</v>
      </c>
      <c r="U32" s="55">
        <f t="shared" si="3"/>
        <v>3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63</v>
      </c>
      <c r="C33" s="64">
        <v>300000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100000</v>
      </c>
      <c r="Q33" s="47">
        <v>0</v>
      </c>
      <c r="R33" s="56">
        <f t="shared" si="0"/>
        <v>1</v>
      </c>
      <c r="S33" s="57">
        <f t="shared" si="1"/>
        <v>3</v>
      </c>
      <c r="T33" s="58">
        <f t="shared" si="2"/>
        <v>103</v>
      </c>
      <c r="U33" s="59">
        <f t="shared" si="3"/>
        <v>3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43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199000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201000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199000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201000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400000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400000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400000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opLeftCell="A20" zoomScaleNormal="100" workbookViewId="0">
      <selection activeCell="A32" sqref="A32:H62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299000</v>
      </c>
      <c r="C1" s="7">
        <v>100000</v>
      </c>
      <c r="D1" s="7">
        <v>0</v>
      </c>
      <c r="E1" s="7">
        <v>0</v>
      </c>
      <c r="F1" s="7">
        <v>0</v>
      </c>
      <c r="G1" s="7">
        <v>0</v>
      </c>
      <c r="H1" s="7" t="s">
        <v>64</v>
      </c>
    </row>
    <row r="2" spans="1:8">
      <c r="A2" s="7">
        <v>2</v>
      </c>
      <c r="B2" s="7">
        <v>301000</v>
      </c>
      <c r="C2" s="7">
        <v>100000</v>
      </c>
      <c r="D2" s="7">
        <v>0</v>
      </c>
      <c r="E2" s="7">
        <v>0</v>
      </c>
      <c r="F2" s="7">
        <v>0</v>
      </c>
      <c r="G2" s="7">
        <v>0</v>
      </c>
      <c r="H2" s="7" t="s">
        <v>53</v>
      </c>
    </row>
    <row r="3" spans="1:8">
      <c r="A3" s="7">
        <v>3</v>
      </c>
      <c r="B3" s="7">
        <v>299000</v>
      </c>
      <c r="C3" s="7">
        <v>100000</v>
      </c>
      <c r="D3" s="7">
        <v>0</v>
      </c>
      <c r="E3" s="7">
        <v>0</v>
      </c>
      <c r="F3" s="7">
        <v>0</v>
      </c>
      <c r="G3" s="7">
        <v>0</v>
      </c>
      <c r="H3" s="7" t="s">
        <v>64</v>
      </c>
    </row>
    <row r="4" spans="1:8">
      <c r="A4" s="7">
        <v>4</v>
      </c>
      <c r="B4" s="7">
        <v>301000</v>
      </c>
      <c r="C4" s="7">
        <v>100000</v>
      </c>
      <c r="D4" s="7">
        <v>0</v>
      </c>
      <c r="E4" s="7">
        <v>0</v>
      </c>
      <c r="F4" s="7">
        <v>0</v>
      </c>
      <c r="G4" s="7">
        <v>0</v>
      </c>
      <c r="H4" s="7" t="s">
        <v>53</v>
      </c>
    </row>
    <row r="5" spans="1:8">
      <c r="A5" s="7">
        <v>5</v>
      </c>
      <c r="B5" s="7">
        <v>300000</v>
      </c>
      <c r="C5" s="7">
        <v>100000</v>
      </c>
      <c r="D5" s="7">
        <v>0</v>
      </c>
      <c r="E5" s="7">
        <v>0</v>
      </c>
      <c r="F5" s="7">
        <v>0</v>
      </c>
      <c r="G5" s="7">
        <v>0</v>
      </c>
      <c r="H5" s="7" t="s">
        <v>65</v>
      </c>
    </row>
    <row r="6" spans="1:8">
      <c r="A6" s="7">
        <v>6</v>
      </c>
      <c r="B6" s="7">
        <v>300000</v>
      </c>
      <c r="C6" s="7">
        <v>100000</v>
      </c>
      <c r="D6" s="7">
        <v>0</v>
      </c>
      <c r="E6" s="7">
        <v>0</v>
      </c>
      <c r="F6" s="7">
        <v>0</v>
      </c>
      <c r="G6" s="7">
        <v>0</v>
      </c>
      <c r="H6" s="7" t="s">
        <v>65</v>
      </c>
    </row>
    <row r="7" spans="1:8">
      <c r="A7" s="7">
        <v>7</v>
      </c>
      <c r="B7" s="7">
        <v>300000</v>
      </c>
      <c r="C7" s="7">
        <v>100000</v>
      </c>
      <c r="D7" s="7">
        <v>0</v>
      </c>
      <c r="E7" s="7">
        <v>0</v>
      </c>
      <c r="F7" s="7">
        <v>0</v>
      </c>
      <c r="G7" s="7">
        <v>0</v>
      </c>
      <c r="H7" s="7" t="s">
        <v>65</v>
      </c>
    </row>
    <row r="8" spans="1:8">
      <c r="A8" s="7">
        <v>8</v>
      </c>
      <c r="B8" s="7">
        <v>300000</v>
      </c>
      <c r="C8" s="7">
        <v>100000</v>
      </c>
      <c r="D8" s="7">
        <v>0</v>
      </c>
      <c r="E8" s="7">
        <v>0</v>
      </c>
      <c r="F8" s="7">
        <v>0</v>
      </c>
      <c r="G8" s="7">
        <v>0</v>
      </c>
      <c r="H8" s="7" t="s">
        <v>65</v>
      </c>
    </row>
    <row r="9" spans="1:8">
      <c r="A9" s="7">
        <v>9</v>
      </c>
      <c r="B9" s="7">
        <v>300000</v>
      </c>
      <c r="C9" s="7">
        <v>100000</v>
      </c>
      <c r="D9" s="7">
        <v>0</v>
      </c>
      <c r="E9" s="7">
        <v>0</v>
      </c>
      <c r="F9" s="7">
        <v>0</v>
      </c>
      <c r="G9" s="7">
        <v>0</v>
      </c>
      <c r="H9" s="7" t="s">
        <v>65</v>
      </c>
    </row>
    <row r="10" spans="1:8">
      <c r="A10" s="7">
        <v>10</v>
      </c>
      <c r="B10" s="7">
        <v>300000</v>
      </c>
      <c r="C10" s="7">
        <v>100000</v>
      </c>
      <c r="D10" s="7">
        <v>0</v>
      </c>
      <c r="E10" s="7">
        <v>0</v>
      </c>
      <c r="F10" s="7">
        <v>0</v>
      </c>
      <c r="G10" s="7">
        <v>0</v>
      </c>
      <c r="H10" s="7" t="s">
        <v>65</v>
      </c>
    </row>
    <row r="11" spans="1:8">
      <c r="A11" s="7">
        <v>11</v>
      </c>
      <c r="B11" s="7">
        <v>300000</v>
      </c>
      <c r="C11" s="7">
        <v>100000</v>
      </c>
      <c r="D11" s="7">
        <v>0</v>
      </c>
      <c r="E11" s="7">
        <v>0</v>
      </c>
      <c r="F11" s="7">
        <v>0</v>
      </c>
      <c r="G11" s="7">
        <v>0</v>
      </c>
      <c r="H11" s="7" t="s">
        <v>65</v>
      </c>
    </row>
    <row r="12" spans="1:8">
      <c r="A12" s="7">
        <v>12</v>
      </c>
      <c r="B12" s="7">
        <v>300000</v>
      </c>
      <c r="C12" s="7">
        <v>100000</v>
      </c>
      <c r="D12" s="7">
        <v>0</v>
      </c>
      <c r="E12" s="7">
        <v>0</v>
      </c>
      <c r="F12" s="7">
        <v>0</v>
      </c>
      <c r="G12" s="7">
        <v>0</v>
      </c>
      <c r="H12" s="7" t="s">
        <v>65</v>
      </c>
    </row>
    <row r="13" spans="1:8">
      <c r="A13" s="7">
        <v>13</v>
      </c>
      <c r="B13" s="7">
        <v>300000</v>
      </c>
      <c r="C13" s="7">
        <v>100000</v>
      </c>
      <c r="D13" s="7">
        <v>0</v>
      </c>
      <c r="E13" s="7">
        <v>0</v>
      </c>
      <c r="F13" s="7">
        <v>0</v>
      </c>
      <c r="G13" s="7">
        <v>0</v>
      </c>
      <c r="H13" s="7" t="s">
        <v>65</v>
      </c>
    </row>
    <row r="14" spans="1:8">
      <c r="A14" s="7">
        <v>14</v>
      </c>
      <c r="B14" s="7">
        <v>300000</v>
      </c>
      <c r="C14" s="7">
        <v>100000</v>
      </c>
      <c r="D14" s="7">
        <v>0</v>
      </c>
      <c r="E14" s="7">
        <v>0</v>
      </c>
      <c r="F14" s="7">
        <v>0</v>
      </c>
      <c r="G14" s="7">
        <v>0</v>
      </c>
      <c r="H14" s="7" t="s">
        <v>65</v>
      </c>
    </row>
    <row r="15" spans="1:8">
      <c r="A15" s="7">
        <v>15</v>
      </c>
      <c r="B15" s="7">
        <v>300000</v>
      </c>
      <c r="C15" s="7">
        <v>100000</v>
      </c>
      <c r="D15" s="7">
        <v>0</v>
      </c>
      <c r="E15" s="7">
        <v>0</v>
      </c>
      <c r="F15" s="7">
        <v>0</v>
      </c>
      <c r="G15" s="7">
        <v>0</v>
      </c>
      <c r="H15" s="7" t="s">
        <v>65</v>
      </c>
    </row>
    <row r="16" spans="1:8">
      <c r="A16" s="7">
        <v>16</v>
      </c>
      <c r="B16" s="7">
        <v>300000</v>
      </c>
      <c r="C16" s="7">
        <v>100000</v>
      </c>
      <c r="D16" s="7">
        <v>0</v>
      </c>
      <c r="E16" s="7">
        <v>0</v>
      </c>
      <c r="F16" s="7">
        <v>0</v>
      </c>
      <c r="G16" s="7">
        <v>0</v>
      </c>
      <c r="H16" s="7" t="s">
        <v>65</v>
      </c>
    </row>
    <row r="17" spans="1:8">
      <c r="A17" s="7">
        <v>17</v>
      </c>
      <c r="B17" s="7">
        <v>300000</v>
      </c>
      <c r="C17" s="7">
        <v>100000</v>
      </c>
      <c r="D17" s="7">
        <v>0</v>
      </c>
      <c r="E17" s="7">
        <v>0</v>
      </c>
      <c r="F17" s="7">
        <v>0</v>
      </c>
      <c r="G17" s="7">
        <v>0</v>
      </c>
      <c r="H17" s="7" t="s">
        <v>65</v>
      </c>
    </row>
    <row r="18" spans="1:8">
      <c r="A18" s="7">
        <v>18</v>
      </c>
      <c r="B18" s="7">
        <v>300000</v>
      </c>
      <c r="C18" s="7">
        <v>100000</v>
      </c>
      <c r="D18" s="7">
        <v>0</v>
      </c>
      <c r="E18" s="7">
        <v>0</v>
      </c>
      <c r="F18" s="7">
        <v>0</v>
      </c>
      <c r="G18" s="7">
        <v>0</v>
      </c>
      <c r="H18" s="7" t="s">
        <v>65</v>
      </c>
    </row>
    <row r="19" spans="1:8">
      <c r="A19" s="7">
        <v>19</v>
      </c>
      <c r="B19" s="7">
        <v>300000</v>
      </c>
      <c r="C19" s="7">
        <v>100000</v>
      </c>
      <c r="D19" s="7">
        <v>0</v>
      </c>
      <c r="E19" s="7">
        <v>0</v>
      </c>
      <c r="F19" s="7">
        <v>0</v>
      </c>
      <c r="G19" s="7">
        <v>0</v>
      </c>
      <c r="H19" s="7" t="s">
        <v>65</v>
      </c>
    </row>
    <row r="20" spans="1:8">
      <c r="A20" s="7">
        <v>20</v>
      </c>
      <c r="B20" s="7">
        <v>300000</v>
      </c>
      <c r="C20" s="7">
        <v>100000</v>
      </c>
      <c r="D20" s="7">
        <v>0</v>
      </c>
      <c r="E20" s="7">
        <v>0</v>
      </c>
      <c r="F20" s="7">
        <v>0</v>
      </c>
      <c r="G20" s="7">
        <v>0</v>
      </c>
      <c r="H20" s="7" t="s">
        <v>65</v>
      </c>
    </row>
    <row r="21" spans="1:8">
      <c r="A21" s="7">
        <v>21</v>
      </c>
      <c r="B21" s="7">
        <v>300000</v>
      </c>
      <c r="C21" s="7">
        <v>100000</v>
      </c>
      <c r="D21" s="7">
        <v>0</v>
      </c>
      <c r="E21" s="7">
        <v>0</v>
      </c>
      <c r="F21" s="7">
        <v>0</v>
      </c>
      <c r="G21" s="7">
        <v>0</v>
      </c>
      <c r="H21" s="7" t="s">
        <v>65</v>
      </c>
    </row>
    <row r="22" spans="1:8">
      <c r="A22" s="7" t="s">
        <v>0</v>
      </c>
      <c r="B22" s="7">
        <v>300000</v>
      </c>
      <c r="C22" s="7">
        <v>100000</v>
      </c>
      <c r="D22" s="7">
        <v>0</v>
      </c>
      <c r="E22" s="7">
        <v>0</v>
      </c>
      <c r="F22" s="7">
        <v>0</v>
      </c>
      <c r="G22" s="7">
        <v>0</v>
      </c>
      <c r="H22" s="7" t="s">
        <v>65</v>
      </c>
    </row>
    <row r="23" spans="1:8">
      <c r="A23" s="7" t="s">
        <v>0</v>
      </c>
      <c r="B23" s="7">
        <v>300000</v>
      </c>
      <c r="C23" s="7">
        <v>100000</v>
      </c>
      <c r="D23" s="7">
        <v>0</v>
      </c>
      <c r="E23" s="7">
        <v>0</v>
      </c>
      <c r="F23" s="7">
        <v>0</v>
      </c>
      <c r="G23" s="7">
        <v>0</v>
      </c>
      <c r="H23" s="7" t="s">
        <v>65</v>
      </c>
    </row>
    <row r="24" spans="1:8">
      <c r="A24" s="7" t="s">
        <v>0</v>
      </c>
      <c r="B24" s="7">
        <v>300000</v>
      </c>
      <c r="C24" s="7">
        <v>100000</v>
      </c>
      <c r="D24" s="7">
        <v>0</v>
      </c>
      <c r="E24" s="7">
        <v>0</v>
      </c>
      <c r="F24" s="7">
        <v>0</v>
      </c>
      <c r="G24" s="7">
        <v>0</v>
      </c>
      <c r="H24" s="7" t="s">
        <v>65</v>
      </c>
    </row>
    <row r="25" spans="1:8">
      <c r="A25" s="7" t="s">
        <v>0</v>
      </c>
      <c r="B25" s="7">
        <v>300000</v>
      </c>
      <c r="C25" s="7">
        <v>100000</v>
      </c>
      <c r="D25" s="7">
        <v>0</v>
      </c>
      <c r="E25" s="7">
        <v>0</v>
      </c>
      <c r="F25" s="7">
        <v>0</v>
      </c>
      <c r="G25" s="7">
        <v>0</v>
      </c>
      <c r="H25" s="7" t="s">
        <v>65</v>
      </c>
    </row>
    <row r="26" spans="1:8">
      <c r="A26" s="7" t="s">
        <v>0</v>
      </c>
      <c r="B26" s="7">
        <v>300000</v>
      </c>
      <c r="C26" s="7">
        <v>100000</v>
      </c>
      <c r="D26" s="7">
        <v>0</v>
      </c>
      <c r="E26" s="7">
        <v>0</v>
      </c>
      <c r="F26" s="7">
        <v>0</v>
      </c>
      <c r="G26" s="7">
        <v>0</v>
      </c>
      <c r="H26" s="7" t="s">
        <v>65</v>
      </c>
    </row>
    <row r="27" spans="1:8">
      <c r="A27" s="7" t="s">
        <v>0</v>
      </c>
      <c r="B27" s="7">
        <v>300000</v>
      </c>
      <c r="C27" s="7">
        <v>100000</v>
      </c>
      <c r="D27" s="7">
        <v>0</v>
      </c>
      <c r="E27" s="7">
        <v>0</v>
      </c>
      <c r="F27" s="7">
        <v>0</v>
      </c>
      <c r="G27" s="7">
        <v>0</v>
      </c>
      <c r="H27" s="7" t="s">
        <v>65</v>
      </c>
    </row>
    <row r="28" spans="1:8">
      <c r="A28" s="7" t="s">
        <v>0</v>
      </c>
      <c r="B28" s="7">
        <v>300000</v>
      </c>
      <c r="C28" s="7">
        <v>100000</v>
      </c>
      <c r="D28" s="7">
        <v>0</v>
      </c>
      <c r="E28" s="7">
        <v>0</v>
      </c>
      <c r="F28" s="7">
        <v>0</v>
      </c>
      <c r="G28" s="7">
        <v>0</v>
      </c>
      <c r="H28" s="7" t="s">
        <v>65</v>
      </c>
    </row>
    <row r="29" spans="1:8">
      <c r="A29" s="7" t="s">
        <v>0</v>
      </c>
      <c r="B29" s="7">
        <v>300000</v>
      </c>
      <c r="C29" s="7">
        <v>100000</v>
      </c>
      <c r="D29" s="7">
        <v>0</v>
      </c>
      <c r="E29" s="7">
        <v>0</v>
      </c>
      <c r="F29" s="7">
        <v>0</v>
      </c>
      <c r="G29" s="7">
        <v>0</v>
      </c>
      <c r="H29" s="7" t="s">
        <v>65</v>
      </c>
    </row>
    <row r="30" spans="1:8">
      <c r="A30" s="7" t="s">
        <v>0</v>
      </c>
      <c r="B30" s="7">
        <v>300000</v>
      </c>
      <c r="C30" s="7">
        <v>100000</v>
      </c>
      <c r="D30" s="7">
        <v>0</v>
      </c>
      <c r="E30" s="7">
        <v>0</v>
      </c>
      <c r="F30" s="7">
        <v>0</v>
      </c>
      <c r="G30" s="7">
        <v>0</v>
      </c>
      <c r="H30" s="7" t="s">
        <v>65</v>
      </c>
    </row>
    <row r="31" spans="1:8">
      <c r="A31" s="7">
        <v>15000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199000</v>
      </c>
      <c r="C32" s="7">
        <v>-1000</v>
      </c>
      <c r="D32" s="7">
        <v>0</v>
      </c>
      <c r="E32" s="7">
        <v>0</v>
      </c>
      <c r="F32" s="7">
        <v>0</v>
      </c>
      <c r="G32" s="7">
        <v>0</v>
      </c>
      <c r="H32" s="7" t="s">
        <v>64</v>
      </c>
    </row>
    <row r="33" spans="1:8">
      <c r="A33" s="7">
        <v>2</v>
      </c>
      <c r="B33" s="7">
        <v>201000</v>
      </c>
      <c r="C33" s="7">
        <v>1000</v>
      </c>
      <c r="D33" s="7">
        <v>0</v>
      </c>
      <c r="E33" s="7">
        <v>0</v>
      </c>
      <c r="F33" s="7">
        <v>0</v>
      </c>
      <c r="G33" s="7">
        <v>0</v>
      </c>
      <c r="H33" s="7" t="s">
        <v>53</v>
      </c>
    </row>
    <row r="34" spans="1:8">
      <c r="A34" s="7">
        <v>3</v>
      </c>
      <c r="B34" s="7">
        <v>199000</v>
      </c>
      <c r="C34" s="7">
        <v>-1000</v>
      </c>
      <c r="D34" s="7">
        <v>0</v>
      </c>
      <c r="E34" s="7">
        <v>0</v>
      </c>
      <c r="F34" s="7">
        <v>0</v>
      </c>
      <c r="G34" s="7">
        <v>0</v>
      </c>
      <c r="H34" s="7" t="s">
        <v>64</v>
      </c>
    </row>
    <row r="35" spans="1:8">
      <c r="A35" s="7">
        <v>4</v>
      </c>
      <c r="B35" s="7">
        <v>201000</v>
      </c>
      <c r="C35" s="7">
        <v>1000</v>
      </c>
      <c r="D35" s="7">
        <v>0</v>
      </c>
      <c r="E35" s="7">
        <v>0</v>
      </c>
      <c r="F35" s="7">
        <v>0</v>
      </c>
      <c r="G35" s="7">
        <v>0</v>
      </c>
      <c r="H35" s="7" t="s">
        <v>53</v>
      </c>
    </row>
    <row r="36" spans="1:8">
      <c r="A36" s="7">
        <v>5</v>
      </c>
      <c r="B36" s="7">
        <v>200000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65</v>
      </c>
    </row>
    <row r="37" spans="1:8">
      <c r="A37" s="7">
        <v>6</v>
      </c>
      <c r="B37" s="7">
        <v>200000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 t="s">
        <v>65</v>
      </c>
    </row>
    <row r="38" spans="1:8">
      <c r="A38" s="7">
        <v>7</v>
      </c>
      <c r="B38" s="7">
        <v>200000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 t="s">
        <v>65</v>
      </c>
    </row>
    <row r="39" spans="1:8">
      <c r="A39" s="7">
        <v>8</v>
      </c>
      <c r="B39" s="7">
        <v>200000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 t="s">
        <v>65</v>
      </c>
    </row>
    <row r="40" spans="1:8">
      <c r="A40" s="7">
        <v>9</v>
      </c>
      <c r="B40" s="7">
        <v>200000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 t="s">
        <v>65</v>
      </c>
    </row>
    <row r="41" spans="1:8">
      <c r="A41" s="7">
        <v>10</v>
      </c>
      <c r="B41" s="7">
        <v>200000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 t="s">
        <v>65</v>
      </c>
    </row>
    <row r="42" spans="1:8">
      <c r="A42" s="7">
        <v>11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65</v>
      </c>
    </row>
    <row r="43" spans="1:8">
      <c r="A43" s="7">
        <v>12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65</v>
      </c>
    </row>
    <row r="44" spans="1:8">
      <c r="A44" s="7">
        <v>13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65</v>
      </c>
    </row>
    <row r="45" spans="1:8">
      <c r="A45" s="7">
        <v>14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65</v>
      </c>
    </row>
    <row r="46" spans="1:8">
      <c r="A46" s="7">
        <v>15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65</v>
      </c>
    </row>
    <row r="47" spans="1:8">
      <c r="A47" s="7">
        <v>16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65</v>
      </c>
    </row>
    <row r="48" spans="1:8">
      <c r="A48" s="7">
        <v>17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65</v>
      </c>
    </row>
    <row r="49" spans="1:8">
      <c r="A49" s="7">
        <v>18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65</v>
      </c>
    </row>
    <row r="50" spans="1:8">
      <c r="A50" s="7">
        <v>19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65</v>
      </c>
    </row>
    <row r="51" spans="1:8">
      <c r="A51" s="7">
        <v>20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65</v>
      </c>
    </row>
    <row r="52" spans="1:8">
      <c r="A52" s="7">
        <v>21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65</v>
      </c>
    </row>
    <row r="53" spans="1:8">
      <c r="A53" s="7" t="s">
        <v>0</v>
      </c>
      <c r="B53" s="7">
        <v>200000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 t="s">
        <v>65</v>
      </c>
    </row>
    <row r="54" spans="1:8">
      <c r="A54" s="7" t="s">
        <v>0</v>
      </c>
      <c r="B54" s="7">
        <v>200000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 t="s">
        <v>65</v>
      </c>
    </row>
    <row r="55" spans="1:8">
      <c r="A55" s="7" t="s">
        <v>0</v>
      </c>
      <c r="B55" s="7">
        <v>200000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 t="s">
        <v>65</v>
      </c>
    </row>
    <row r="56" spans="1:8">
      <c r="A56" s="7" t="s">
        <v>0</v>
      </c>
      <c r="B56" s="7">
        <v>200000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 t="s">
        <v>65</v>
      </c>
    </row>
    <row r="57" spans="1:8">
      <c r="A57" s="7" t="s">
        <v>0</v>
      </c>
      <c r="B57" s="7">
        <v>200000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 t="s">
        <v>65</v>
      </c>
    </row>
    <row r="58" spans="1:8">
      <c r="A58" s="7" t="s">
        <v>0</v>
      </c>
      <c r="B58" s="7">
        <v>200000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 t="s">
        <v>65</v>
      </c>
    </row>
    <row r="59" spans="1:8">
      <c r="A59" s="7" t="s">
        <v>0</v>
      </c>
      <c r="B59" s="7">
        <v>200000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 t="s">
        <v>65</v>
      </c>
    </row>
    <row r="60" spans="1:8">
      <c r="A60" s="7" t="s">
        <v>0</v>
      </c>
      <c r="B60" s="7">
        <v>200000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 t="s">
        <v>65</v>
      </c>
    </row>
    <row r="61" spans="1:8">
      <c r="A61" s="7" t="s">
        <v>0</v>
      </c>
      <c r="B61" s="7">
        <v>200000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 t="s">
        <v>65</v>
      </c>
    </row>
    <row r="62" spans="1:8">
      <c r="A62" s="7">
        <v>12000</v>
      </c>
      <c r="B62" s="7">
        <v>2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>
        <f t="shared" ref="B63:H63" si="0">IF(B1=B32,"",B1)</f>
        <v>299000</v>
      </c>
      <c r="C63" s="48">
        <f t="shared" si="0"/>
        <v>100000</v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3" si="1">IF(A2=A33,"",A2)</f>
        <v/>
      </c>
      <c r="B64" s="48">
        <f t="shared" si="1"/>
        <v>301000</v>
      </c>
      <c r="C64" s="48">
        <f t="shared" si="1"/>
        <v>100000</v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>
        <f t="shared" si="1"/>
        <v>299000</v>
      </c>
      <c r="C65" s="48">
        <f t="shared" si="1"/>
        <v>100000</v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>
        <f t="shared" si="1"/>
        <v>301000</v>
      </c>
      <c r="C66" s="48">
        <f t="shared" si="1"/>
        <v>100000</v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>
        <f t="shared" si="1"/>
        <v>300000</v>
      </c>
      <c r="C67" s="48">
        <f t="shared" si="1"/>
        <v>100000</v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>
        <f t="shared" si="1"/>
        <v>300000</v>
      </c>
      <c r="C68" s="48">
        <f t="shared" si="1"/>
        <v>100000</v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>
        <f t="shared" si="1"/>
        <v>300000</v>
      </c>
      <c r="C69" s="48">
        <f t="shared" si="1"/>
        <v>100000</v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>
        <f t="shared" si="1"/>
        <v>300000</v>
      </c>
      <c r="C70" s="48">
        <f t="shared" si="1"/>
        <v>100000</v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>
        <f t="shared" si="1"/>
        <v>300000</v>
      </c>
      <c r="C71" s="48">
        <f t="shared" si="1"/>
        <v>100000</v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>
        <f t="shared" si="1"/>
        <v>300000</v>
      </c>
      <c r="C72" s="48">
        <f t="shared" si="1"/>
        <v>100000</v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>
        <f t="shared" si="1"/>
        <v>300000</v>
      </c>
      <c r="C73" s="48">
        <f t="shared" si="1"/>
        <v>100000</v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>
        <f t="shared" si="1"/>
        <v>300000</v>
      </c>
      <c r="C74" s="48">
        <f t="shared" si="1"/>
        <v>100000</v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>
        <f t="shared" si="1"/>
        <v>300000</v>
      </c>
      <c r="C75" s="48">
        <f t="shared" si="1"/>
        <v>100000</v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>
        <f t="shared" si="1"/>
        <v>300000</v>
      </c>
      <c r="C76" s="48">
        <f t="shared" si="1"/>
        <v>100000</v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>
        <f t="shared" si="1"/>
        <v>300000</v>
      </c>
      <c r="C77" s="48">
        <f t="shared" si="1"/>
        <v>100000</v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>
        <f t="shared" si="1"/>
        <v>300000</v>
      </c>
      <c r="C78" s="48">
        <f t="shared" si="1"/>
        <v>100000</v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>
        <f t="shared" si="1"/>
        <v>300000</v>
      </c>
      <c r="C79" s="48">
        <f t="shared" si="1"/>
        <v>100000</v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>
        <f t="shared" si="1"/>
        <v>300000</v>
      </c>
      <c r="C80" s="48">
        <f t="shared" si="1"/>
        <v>100000</v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>
        <f t="shared" si="1"/>
        <v>300000</v>
      </c>
      <c r="C81" s="48">
        <f t="shared" si="1"/>
        <v>100000</v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>
        <f t="shared" si="1"/>
        <v>300000</v>
      </c>
      <c r="C82" s="48">
        <f t="shared" si="1"/>
        <v>100000</v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>
        <f t="shared" si="1"/>
        <v>300000</v>
      </c>
      <c r="C83" s="48">
        <f t="shared" si="1"/>
        <v>100000</v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>
        <f t="shared" si="1"/>
        <v>300000</v>
      </c>
      <c r="C84" s="48">
        <f t="shared" si="1"/>
        <v>100000</v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>
        <f t="shared" si="1"/>
        <v>300000</v>
      </c>
      <c r="C85" s="48">
        <f t="shared" si="1"/>
        <v>100000</v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>
        <f t="shared" si="1"/>
        <v>300000</v>
      </c>
      <c r="C86" s="48">
        <f t="shared" si="1"/>
        <v>100000</v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>
        <f t="shared" si="1"/>
        <v>300000</v>
      </c>
      <c r="C87" s="48">
        <f t="shared" si="1"/>
        <v>100000</v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>
        <f t="shared" si="1"/>
        <v>300000</v>
      </c>
      <c r="C88" s="48">
        <f t="shared" si="1"/>
        <v>100000</v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>
        <f t="shared" si="1"/>
        <v>300000</v>
      </c>
      <c r="C89" s="48">
        <f t="shared" si="1"/>
        <v>100000</v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>
        <f t="shared" si="1"/>
        <v>300000</v>
      </c>
      <c r="C90" s="48">
        <f t="shared" si="1"/>
        <v>100000</v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>
        <f t="shared" si="1"/>
        <v>300000</v>
      </c>
      <c r="C91" s="48">
        <f t="shared" si="1"/>
        <v>100000</v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>
        <f t="shared" si="1"/>
        <v>300000</v>
      </c>
      <c r="C92" s="48">
        <f t="shared" ref="C92:H93" si="2">IF(C30=C61,"",C30)</f>
        <v>100000</v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>
        <f t="shared" si="1"/>
        <v>15000</v>
      </c>
      <c r="B93" s="48">
        <f t="shared" si="1"/>
        <v>0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2021-11-09T19:16:45Z</dcterms:modified>
</cp:coreProperties>
</file>