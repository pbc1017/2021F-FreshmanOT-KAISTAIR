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11\"/>
    </mc:Choice>
  </mc:AlternateContent>
  <xr:revisionPtr revIDLastSave="0" documentId="13_ncr:1_{646B9AF9-C0CA-49E7-B4EF-2885C0E1B6CA}" xr6:coauthVersionLast="36" xr6:coauthVersionMax="47" xr10:uidLastSave="{00000000-0000-0000-0000-000000000000}"/>
  <bookViews>
    <workbookView xWindow="0" yWindow="503" windowWidth="28800" windowHeight="17498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<sst xmlns="http://schemas.openxmlformats.org/spreadsheetml/2006/main" count="136" uniqueCount="61">
  <si>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</si>
  <si>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</si>
  <si>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</si>
  <si>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</si>
  <si>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</si>
  <si>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</si>
  <si>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</si>
  <si>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</si>
  <si>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</si>
  <si>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</si>
  <si>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</si>
  <si>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</si>
  <si>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</si>
  <si>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</si>
  <si>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</si>
  <si>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</si>
  <si>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환전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</si>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</sst>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3" borderId="0" xfId="0" applyNumberFormat="1" applyFill="1">
      <alignment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4" borderId="10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4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5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9" xfId="0" applyFont="1" applyFill="1" applyBorder="1">
      <alignment vertical="center"/>
    </xf>
    <xf numFmtId="0" fontId="4" fillId="5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4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4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A100"/>
  <sheetViews>
    <sheetView tabSelected="1" zoomScale="95" zoomScaleNormal="95" workbookViewId="0">
      <pane xSplit="1" topLeftCell="B1" activePane="topRight" state="frozen"/>
      <selection pane="topRight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75" customWidth="1"/>
    <col min="7" max="8" width="3.8125" customWidth="1"/>
    <col min="9" max="13" width="3.0625" customWidth="1"/>
    <col min="14" max="14" width="10" customWidth="1"/>
    <col min="16" max="16" width="8.8125" style="26" customWidth="1"/>
    <col min="17" max="17" width="4.3125" style="49" customWidth="1"/>
    <col min="18" max="21" width="5.5" customWidth="1"/>
    <col min="22" max="22" width="5.125" customWidth="1"/>
    <col min="23" max="27" width="3.0625" customWidth="1"/>
  </cols>
  <sheetData>
    <row r="1" spans="1:27" ht="17.25" thickBot="1">
      <c r="A1" s="1" t="s">
        <v>1</v>
      </c>
      <c r="B1" s="52">
        <v>1</v>
      </c>
      <c r="C1" s="87" t="s">
        <v>5</v>
      </c>
      <c r="D1" s="19" t="s">
        <v>6</v>
      </c>
      <c r="E1" s="20"/>
      <c r="F1" s="91" t="s">
        <v>7</v>
      </c>
      <c r="G1" s="89"/>
      <c r="H1" s="92"/>
      <c r="I1" s="85" t="s">
        <v>59</v>
      </c>
      <c r="J1" s="85"/>
      <c r="K1" s="85"/>
      <c r="L1" s="85"/>
      <c r="M1" s="85"/>
      <c r="N1" s="44" t="s">
        <v>8</v>
      </c>
      <c r="O1" s="15">
        <v>13000</v>
      </c>
      <c r="P1" s="77" t="s">
        <v>22</v>
      </c>
      <c r="Q1" s="80" t="s">
        <v>44</v>
      </c>
      <c r="R1" s="72" t="s">
        <v>53</v>
      </c>
      <c r="S1" s="73"/>
      <c r="T1" s="73"/>
      <c r="U1" s="74"/>
      <c r="V1" s="69" t="s">
        <v>58</v>
      </c>
      <c r="W1" s="85" t="s">
        <v>60</v>
      </c>
      <c r="X1" s="85"/>
      <c r="Y1" s="85"/>
      <c r="Z1" s="85"/>
      <c r="AA1" s="85"/>
    </row>
    <row r="2" spans="1:27" ht="17.25" thickBot="1">
      <c r="A2" s="69" t="s">
        <v>3</v>
      </c>
      <c r="B2" s="69" t="s">
        <v>4</v>
      </c>
      <c r="C2" s="88"/>
      <c r="D2" s="21" t="s">
        <v>9</v>
      </c>
      <c r="E2" s="22">
        <v>0</v>
      </c>
      <c r="F2" s="34" t="s">
        <v>10</v>
      </c>
      <c r="G2" s="89" t="s">
        <v>11</v>
      </c>
      <c r="H2" s="90"/>
      <c r="I2" s="86"/>
      <c r="J2" s="86"/>
      <c r="K2" s="86"/>
      <c r="L2" s="86"/>
      <c r="M2" s="86"/>
      <c r="N2" s="83" t="s">
        <v>12</v>
      </c>
      <c r="O2" s="16" t="s">
        <v>13</v>
      </c>
      <c r="P2" s="78"/>
      <c r="Q2" s="81"/>
      <c r="R2" s="75" t="s">
        <v>54</v>
      </c>
      <c r="S2" s="75" t="s">
        <v>55</v>
      </c>
      <c r="T2" s="75" t="s">
        <v>56</v>
      </c>
      <c r="U2" s="75" t="s">
        <v>57</v>
      </c>
      <c r="V2" s="70"/>
      <c r="W2" s="86"/>
      <c r="X2" s="86"/>
      <c r="Y2" s="86"/>
      <c r="Z2" s="86"/>
      <c r="AA2" s="86"/>
    </row>
    <row r="3" spans="1:27" ht="17.25" thickBot="1">
      <c r="A3" s="70"/>
      <c r="B3" s="70"/>
      <c r="C3" s="33" t="s">
        <v>20</v>
      </c>
      <c r="D3" s="34">
        <v>1</v>
      </c>
      <c r="E3" s="16">
        <v>2</v>
      </c>
      <c r="F3" s="35" t="s">
        <v>14</v>
      </c>
      <c r="G3" s="36" t="s">
        <v>15</v>
      </c>
      <c r="H3" s="37"/>
      <c r="I3" s="34">
        <v>1</v>
      </c>
      <c r="J3" s="34">
        <v>2</v>
      </c>
      <c r="K3" s="34">
        <v>3</v>
      </c>
      <c r="L3" s="34">
        <v>4</v>
      </c>
      <c r="M3" s="34">
        <v>5</v>
      </c>
      <c r="N3" s="84"/>
      <c r="O3" s="25" t="s">
        <v>16</v>
      </c>
      <c r="P3" s="79"/>
      <c r="Q3" s="82"/>
      <c r="R3" s="76"/>
      <c r="S3" s="76"/>
      <c r="T3" s="76"/>
      <c r="U3" s="76"/>
      <c r="V3" s="71"/>
      <c r="W3" s="34">
        <v>1</v>
      </c>
      <c r="X3" s="34">
        <v>2</v>
      </c>
      <c r="Y3" s="34">
        <v>3</v>
      </c>
      <c r="Z3" s="34">
        <v>4</v>
      </c>
      <c r="AA3" s="34">
        <v>5</v>
      </c>
    </row>
    <row r="4" spans="1:27">
      <c r="A4" s="27">
        <v>1</v>
      </c>
      <c r="B4" s="38" t="s">
        <v>45</v>
      </c>
      <c r="C4" s="63">
        <v>200000</v>
      </c>
      <c r="D4" s="1">
        <v>0</v>
      </c>
      <c r="E4" s="2">
        <v>0</v>
      </c>
      <c r="F4" s="40">
        <v>0</v>
      </c>
      <c r="G4" s="27">
        <v>0</v>
      </c>
      <c r="H4" s="15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27">
        <v>0</v>
      </c>
      <c r="O4" s="30">
        <v>0</v>
      </c>
      <c r="P4" s="66">
        <v>0</v>
      </c>
      <c r="Q4" s="46">
        <v>0</v>
      </c>
      <c r="R4" s="50">
        <f>RANK(N4,$N$4:$N$33)</f>
        <v>1</v>
      </c>
      <c r="S4" s="51">
        <f>RANK(C4,$C$4:$C$33)</f>
        <v>1</v>
      </c>
      <c r="T4" s="52">
        <f>R4*100+S4</f>
        <v>101</v>
      </c>
      <c r="U4" s="53">
        <f>RANK(T4,$T$4:$T$33,1)</f>
        <v>1</v>
      </c>
      <c r="V4" s="61">
        <f>SUM(I4:M4)</f>
        <v>0</v>
      </c>
      <c r="W4" s="38">
        <v>0</v>
      </c>
      <c r="X4" s="38">
        <v>0</v>
      </c>
      <c r="Y4" s="38">
        <v>0</v>
      </c>
      <c r="Z4" s="38">
        <v>0</v>
      </c>
      <c r="AA4" s="38">
        <v>0</v>
      </c>
    </row>
    <row r="5" spans="1:27">
      <c r="A5" s="28">
        <v>2</v>
      </c>
      <c r="B5" s="34" t="s">
        <v>46</v>
      </c>
      <c r="C5" s="64">
        <v>200000</v>
      </c>
      <c r="D5" s="3">
        <v>0</v>
      </c>
      <c r="E5" s="4">
        <v>0</v>
      </c>
      <c r="F5" s="17">
        <v>0</v>
      </c>
      <c r="G5" s="28">
        <v>0</v>
      </c>
      <c r="H5" s="16">
        <v>0</v>
      </c>
      <c r="I5" s="34">
        <v>0</v>
      </c>
      <c r="J5" s="34">
        <v>0</v>
      </c>
      <c r="K5" s="34">
        <v>0</v>
      </c>
      <c r="L5" s="34">
        <v>0</v>
      </c>
      <c r="M5" s="34">
        <v>0</v>
      </c>
      <c r="N5" s="28">
        <v>0</v>
      </c>
      <c r="O5" s="31">
        <v>0</v>
      </c>
      <c r="P5" s="67">
        <v>0</v>
      </c>
      <c r="Q5" s="47">
        <v>0</v>
      </c>
      <c r="R5" s="54">
        <f t="shared" ref="R5:R33" si="0">RANK(N5,$N$4:$N$33)</f>
        <v>1</v>
      </c>
      <c r="S5" s="45">
        <f t="shared" ref="S5:S33" si="1">RANK(C5,$C$4:$C$33)</f>
        <v>1</v>
      </c>
      <c r="T5" s="55">
        <f t="shared" ref="T5:T33" si="2">R5*100+S5</f>
        <v>101</v>
      </c>
      <c r="U5" s="56">
        <f t="shared" ref="U5:U33" si="3">RANK(T5,$T$4:$T$33,1)</f>
        <v>1</v>
      </c>
      <c r="V5" s="61">
        <f t="shared" ref="V5:V33" si="4">SUM(I5:M5)</f>
        <v>0</v>
      </c>
      <c r="W5" s="34">
        <v>0</v>
      </c>
      <c r="X5" s="34">
        <v>0</v>
      </c>
      <c r="Y5" s="34">
        <v>0</v>
      </c>
      <c r="Z5" s="34">
        <v>0</v>
      </c>
      <c r="AA5" s="34">
        <v>0</v>
      </c>
    </row>
    <row r="6" spans="1:27">
      <c r="A6" s="28">
        <v>3</v>
      </c>
      <c r="B6" s="34" t="s">
        <v>47</v>
      </c>
      <c r="C6" s="64">
        <v>200000</v>
      </c>
      <c r="D6" s="3">
        <v>0</v>
      </c>
      <c r="E6" s="4">
        <v>0</v>
      </c>
      <c r="F6" s="17">
        <v>0</v>
      </c>
      <c r="G6" s="28">
        <v>0</v>
      </c>
      <c r="H6" s="16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28">
        <v>0</v>
      </c>
      <c r="O6" s="31">
        <v>0</v>
      </c>
      <c r="P6" s="67">
        <v>0</v>
      </c>
      <c r="Q6" s="47">
        <v>0</v>
      </c>
      <c r="R6" s="54">
        <f t="shared" si="0"/>
        <v>1</v>
      </c>
      <c r="S6" s="45">
        <f t="shared" si="1"/>
        <v>1</v>
      </c>
      <c r="T6" s="55">
        <f t="shared" si="2"/>
        <v>101</v>
      </c>
      <c r="U6" s="56">
        <f t="shared" si="3"/>
        <v>1</v>
      </c>
      <c r="V6" s="61">
        <f t="shared" si="4"/>
        <v>0</v>
      </c>
      <c r="W6" s="34">
        <v>0</v>
      </c>
      <c r="X6" s="34">
        <v>0</v>
      </c>
      <c r="Y6" s="34">
        <v>0</v>
      </c>
      <c r="Z6" s="34">
        <v>0</v>
      </c>
      <c r="AA6" s="34">
        <v>0</v>
      </c>
    </row>
    <row r="7" spans="1:27">
      <c r="A7" s="28">
        <v>4</v>
      </c>
      <c r="B7" s="34" t="s">
        <v>23</v>
      </c>
      <c r="C7" s="64">
        <v>200000</v>
      </c>
      <c r="D7" s="3">
        <v>0</v>
      </c>
      <c r="E7" s="4">
        <v>0</v>
      </c>
      <c r="F7" s="17">
        <v>0</v>
      </c>
      <c r="G7" s="28">
        <v>0</v>
      </c>
      <c r="H7" s="16">
        <v>0</v>
      </c>
      <c r="I7" s="34">
        <v>0</v>
      </c>
      <c r="J7" s="34">
        <v>0</v>
      </c>
      <c r="K7" s="34">
        <v>0</v>
      </c>
      <c r="L7" s="34">
        <v>0</v>
      </c>
      <c r="M7" s="34">
        <v>0</v>
      </c>
      <c r="N7" s="28">
        <v>0</v>
      </c>
      <c r="O7" s="31">
        <v>0</v>
      </c>
      <c r="P7" s="67">
        <v>0</v>
      </c>
      <c r="Q7" s="47">
        <v>0</v>
      </c>
      <c r="R7" s="54">
        <f t="shared" si="0"/>
        <v>1</v>
      </c>
      <c r="S7" s="45">
        <f t="shared" si="1"/>
        <v>1</v>
      </c>
      <c r="T7" s="55">
        <f t="shared" si="2"/>
        <v>101</v>
      </c>
      <c r="U7" s="56">
        <f t="shared" si="3"/>
        <v>1</v>
      </c>
      <c r="V7" s="61">
        <f t="shared" si="4"/>
        <v>0</v>
      </c>
      <c r="W7" s="34">
        <v>0</v>
      </c>
      <c r="X7" s="34">
        <v>0</v>
      </c>
      <c r="Y7" s="34">
        <v>0</v>
      </c>
      <c r="Z7" s="34">
        <v>0</v>
      </c>
      <c r="AA7" s="34">
        <v>0</v>
      </c>
    </row>
    <row r="8" spans="1:27">
      <c r="A8" s="28">
        <v>5</v>
      </c>
      <c r="B8" s="34" t="s">
        <v>21</v>
      </c>
      <c r="C8" s="64">
        <v>200000</v>
      </c>
      <c r="D8" s="3">
        <v>0</v>
      </c>
      <c r="E8" s="4">
        <v>0</v>
      </c>
      <c r="F8" s="17">
        <v>0</v>
      </c>
      <c r="G8" s="28">
        <v>0</v>
      </c>
      <c r="H8" s="16">
        <v>0</v>
      </c>
      <c r="I8" s="34">
        <v>0</v>
      </c>
      <c r="J8" s="34">
        <v>0</v>
      </c>
      <c r="K8" s="34">
        <v>0</v>
      </c>
      <c r="L8" s="34">
        <v>0</v>
      </c>
      <c r="M8" s="34">
        <v>0</v>
      </c>
      <c r="N8" s="28">
        <v>0</v>
      </c>
      <c r="O8" s="31">
        <v>0</v>
      </c>
      <c r="P8" s="67">
        <v>0</v>
      </c>
      <c r="Q8" s="47">
        <v>0</v>
      </c>
      <c r="R8" s="54">
        <f t="shared" si="0"/>
        <v>1</v>
      </c>
      <c r="S8" s="45">
        <f t="shared" si="1"/>
        <v>1</v>
      </c>
      <c r="T8" s="55">
        <f t="shared" si="2"/>
        <v>101</v>
      </c>
      <c r="U8" s="56">
        <f t="shared" si="3"/>
        <v>1</v>
      </c>
      <c r="V8" s="61">
        <f t="shared" si="4"/>
        <v>0</v>
      </c>
      <c r="W8" s="34">
        <v>0</v>
      </c>
      <c r="X8" s="34">
        <v>0</v>
      </c>
      <c r="Y8" s="34">
        <v>0</v>
      </c>
      <c r="Z8" s="34">
        <v>0</v>
      </c>
      <c r="AA8" s="34">
        <v>0</v>
      </c>
    </row>
    <row r="9" spans="1:27">
      <c r="A9" s="28">
        <v>6</v>
      </c>
      <c r="B9" s="34" t="s">
        <v>48</v>
      </c>
      <c r="C9" s="64">
        <v>200000</v>
      </c>
      <c r="D9" s="3">
        <v>0</v>
      </c>
      <c r="E9" s="4">
        <v>0</v>
      </c>
      <c r="F9" s="17">
        <v>0</v>
      </c>
      <c r="G9" s="28">
        <v>0</v>
      </c>
      <c r="H9" s="16">
        <v>0</v>
      </c>
      <c r="I9" s="34">
        <v>0</v>
      </c>
      <c r="J9" s="34">
        <v>0</v>
      </c>
      <c r="K9" s="34">
        <v>0</v>
      </c>
      <c r="L9" s="34">
        <v>0</v>
      </c>
      <c r="M9" s="34">
        <v>0</v>
      </c>
      <c r="N9" s="28">
        <v>0</v>
      </c>
      <c r="O9" s="31">
        <v>0</v>
      </c>
      <c r="P9" s="67">
        <v>0</v>
      </c>
      <c r="Q9" s="47">
        <v>0</v>
      </c>
      <c r="R9" s="54">
        <f t="shared" si="0"/>
        <v>1</v>
      </c>
      <c r="S9" s="45">
        <f t="shared" si="1"/>
        <v>1</v>
      </c>
      <c r="T9" s="55">
        <f t="shared" si="2"/>
        <v>101</v>
      </c>
      <c r="U9" s="56">
        <f t="shared" si="3"/>
        <v>1</v>
      </c>
      <c r="V9" s="61">
        <f t="shared" si="4"/>
        <v>0</v>
      </c>
      <c r="W9" s="34">
        <v>0</v>
      </c>
      <c r="X9" s="34">
        <v>0</v>
      </c>
      <c r="Y9" s="34">
        <v>0</v>
      </c>
      <c r="Z9" s="34">
        <v>0</v>
      </c>
      <c r="AA9" s="34">
        <v>0</v>
      </c>
    </row>
    <row r="10" spans="1:27">
      <c r="A10" s="28">
        <v>7</v>
      </c>
      <c r="B10" s="34" t="s">
        <v>49</v>
      </c>
      <c r="C10" s="64">
        <v>200000</v>
      </c>
      <c r="D10" s="3">
        <v>0</v>
      </c>
      <c r="E10" s="4">
        <v>0</v>
      </c>
      <c r="F10" s="17">
        <v>0</v>
      </c>
      <c r="G10" s="28">
        <v>0</v>
      </c>
      <c r="H10" s="16">
        <v>0</v>
      </c>
      <c r="I10" s="34">
        <v>0</v>
      </c>
      <c r="J10" s="34">
        <v>0</v>
      </c>
      <c r="K10" s="34">
        <v>0</v>
      </c>
      <c r="L10" s="34">
        <v>0</v>
      </c>
      <c r="M10" s="34">
        <v>0</v>
      </c>
      <c r="N10" s="28">
        <v>0</v>
      </c>
      <c r="O10" s="31">
        <v>0</v>
      </c>
      <c r="P10" s="67">
        <v>0</v>
      </c>
      <c r="Q10" s="47">
        <v>0</v>
      </c>
      <c r="R10" s="54">
        <f t="shared" si="0"/>
        <v>1</v>
      </c>
      <c r="S10" s="45">
        <f t="shared" si="1"/>
        <v>1</v>
      </c>
      <c r="T10" s="55">
        <f t="shared" si="2"/>
        <v>101</v>
      </c>
      <c r="U10" s="56">
        <f t="shared" si="3"/>
        <v>1</v>
      </c>
      <c r="V10" s="61">
        <f t="shared" si="4"/>
        <v>0</v>
      </c>
      <c r="W10" s="34">
        <v>0</v>
      </c>
      <c r="X10" s="34">
        <v>0</v>
      </c>
      <c r="Y10" s="34">
        <v>0</v>
      </c>
      <c r="Z10" s="34">
        <v>0</v>
      </c>
      <c r="AA10" s="34">
        <v>0</v>
      </c>
    </row>
    <row r="11" spans="1:27">
      <c r="A11" s="28">
        <v>8</v>
      </c>
      <c r="B11" s="34" t="s">
        <v>50</v>
      </c>
      <c r="C11" s="64">
        <v>200000</v>
      </c>
      <c r="D11" s="3">
        <v>0</v>
      </c>
      <c r="E11" s="4">
        <v>0</v>
      </c>
      <c r="F11" s="17">
        <v>0</v>
      </c>
      <c r="G11" s="28">
        <v>0</v>
      </c>
      <c r="H11" s="16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28">
        <v>0</v>
      </c>
      <c r="O11" s="31">
        <v>0</v>
      </c>
      <c r="P11" s="67">
        <v>0</v>
      </c>
      <c r="Q11" s="47">
        <v>0</v>
      </c>
      <c r="R11" s="54">
        <f t="shared" si="0"/>
        <v>1</v>
      </c>
      <c r="S11" s="45">
        <f t="shared" si="1"/>
        <v>1</v>
      </c>
      <c r="T11" s="55">
        <f t="shared" si="2"/>
        <v>101</v>
      </c>
      <c r="U11" s="56">
        <f t="shared" si="3"/>
        <v>1</v>
      </c>
      <c r="V11" s="61">
        <f t="shared" si="4"/>
        <v>0</v>
      </c>
      <c r="W11" s="34">
        <v>0</v>
      </c>
      <c r="X11" s="34">
        <v>0</v>
      </c>
      <c r="Y11" s="34">
        <v>0</v>
      </c>
      <c r="Z11" s="34">
        <v>0</v>
      </c>
      <c r="AA11" s="34">
        <v>0</v>
      </c>
    </row>
    <row r="12" spans="1:27">
      <c r="A12" s="28">
        <v>9</v>
      </c>
      <c r="B12" s="34" t="s">
        <v>24</v>
      </c>
      <c r="C12" s="64">
        <v>200000</v>
      </c>
      <c r="D12" s="3">
        <v>0</v>
      </c>
      <c r="E12" s="4">
        <v>0</v>
      </c>
      <c r="F12" s="17">
        <v>0</v>
      </c>
      <c r="G12" s="28">
        <v>0</v>
      </c>
      <c r="H12" s="16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28">
        <v>0</v>
      </c>
      <c r="O12" s="31">
        <v>0</v>
      </c>
      <c r="P12" s="67">
        <v>0</v>
      </c>
      <c r="Q12" s="47">
        <v>0</v>
      </c>
      <c r="R12" s="54">
        <f t="shared" si="0"/>
        <v>1</v>
      </c>
      <c r="S12" s="45">
        <f t="shared" si="1"/>
        <v>1</v>
      </c>
      <c r="T12" s="55">
        <f t="shared" si="2"/>
        <v>101</v>
      </c>
      <c r="U12" s="56">
        <f t="shared" si="3"/>
        <v>1</v>
      </c>
      <c r="V12" s="61">
        <f t="shared" si="4"/>
        <v>0</v>
      </c>
      <c r="W12" s="34">
        <v>0</v>
      </c>
      <c r="X12" s="34">
        <v>0</v>
      </c>
      <c r="Y12" s="34">
        <v>0</v>
      </c>
      <c r="Z12" s="34">
        <v>0</v>
      </c>
      <c r="AA12" s="34">
        <v>0</v>
      </c>
    </row>
    <row r="13" spans="1:27">
      <c r="A13" s="28">
        <v>10</v>
      </c>
      <c r="B13" s="34" t="s">
        <v>29</v>
      </c>
      <c r="C13" s="64">
        <v>200000</v>
      </c>
      <c r="D13" s="3">
        <v>0</v>
      </c>
      <c r="E13" s="4">
        <v>0</v>
      </c>
      <c r="F13" s="17">
        <v>0</v>
      </c>
      <c r="G13" s="28">
        <v>0</v>
      </c>
      <c r="H13" s="16">
        <v>0</v>
      </c>
      <c r="I13" s="34">
        <v>0</v>
      </c>
      <c r="J13" s="34">
        <v>0</v>
      </c>
      <c r="K13" s="34">
        <v>0</v>
      </c>
      <c r="L13" s="34">
        <v>0</v>
      </c>
      <c r="M13" s="34">
        <v>0</v>
      </c>
      <c r="N13" s="28">
        <v>0</v>
      </c>
      <c r="O13" s="31">
        <v>0</v>
      </c>
      <c r="P13" s="67">
        <v>0</v>
      </c>
      <c r="Q13" s="47">
        <v>0</v>
      </c>
      <c r="R13" s="54">
        <f t="shared" si="0"/>
        <v>1</v>
      </c>
      <c r="S13" s="45">
        <f t="shared" si="1"/>
        <v>1</v>
      </c>
      <c r="T13" s="55">
        <f t="shared" si="2"/>
        <v>101</v>
      </c>
      <c r="U13" s="56">
        <f t="shared" si="3"/>
        <v>1</v>
      </c>
      <c r="V13" s="61">
        <f t="shared" si="4"/>
        <v>0</v>
      </c>
      <c r="W13" s="34">
        <v>0</v>
      </c>
      <c r="X13" s="34">
        <v>0</v>
      </c>
      <c r="Y13" s="34">
        <v>0</v>
      </c>
      <c r="Z13" s="34">
        <v>0</v>
      </c>
      <c r="AA13" s="34">
        <v>0</v>
      </c>
    </row>
    <row r="14" spans="1:27">
      <c r="A14" s="28">
        <v>11</v>
      </c>
      <c r="B14" s="34" t="s">
        <v>25</v>
      </c>
      <c r="C14" s="64">
        <v>200000</v>
      </c>
      <c r="D14" s="3">
        <v>0</v>
      </c>
      <c r="E14" s="4">
        <v>0</v>
      </c>
      <c r="F14" s="17">
        <v>0</v>
      </c>
      <c r="G14" s="28">
        <v>0</v>
      </c>
      <c r="H14" s="16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28">
        <v>0</v>
      </c>
      <c r="O14" s="31">
        <v>0</v>
      </c>
      <c r="P14" s="67">
        <v>0</v>
      </c>
      <c r="Q14" s="47">
        <v>0</v>
      </c>
      <c r="R14" s="54">
        <f t="shared" si="0"/>
        <v>1</v>
      </c>
      <c r="S14" s="45">
        <f t="shared" si="1"/>
        <v>1</v>
      </c>
      <c r="T14" s="55">
        <f t="shared" si="2"/>
        <v>101</v>
      </c>
      <c r="U14" s="56">
        <f t="shared" si="3"/>
        <v>1</v>
      </c>
      <c r="V14" s="61">
        <f t="shared" si="4"/>
        <v>0</v>
      </c>
      <c r="W14" s="34">
        <v>0</v>
      </c>
      <c r="X14" s="34">
        <v>0</v>
      </c>
      <c r="Y14" s="34">
        <v>0</v>
      </c>
      <c r="Z14" s="34">
        <v>0</v>
      </c>
      <c r="AA14" s="34">
        <v>0</v>
      </c>
    </row>
    <row r="15" spans="1:27">
      <c r="A15" s="28">
        <v>12</v>
      </c>
      <c r="B15" s="34" t="s">
        <v>51</v>
      </c>
      <c r="C15" s="64">
        <v>200000</v>
      </c>
      <c r="D15" s="3">
        <v>0</v>
      </c>
      <c r="E15" s="4">
        <v>0</v>
      </c>
      <c r="F15" s="17">
        <v>0</v>
      </c>
      <c r="G15" s="28">
        <v>0</v>
      </c>
      <c r="H15" s="16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28">
        <v>0</v>
      </c>
      <c r="O15" s="31">
        <v>0</v>
      </c>
      <c r="P15" s="67">
        <v>0</v>
      </c>
      <c r="Q15" s="47">
        <v>0</v>
      </c>
      <c r="R15" s="54">
        <f t="shared" si="0"/>
        <v>1</v>
      </c>
      <c r="S15" s="45">
        <f t="shared" si="1"/>
        <v>1</v>
      </c>
      <c r="T15" s="55">
        <f t="shared" si="2"/>
        <v>101</v>
      </c>
      <c r="U15" s="56">
        <f t="shared" si="3"/>
        <v>1</v>
      </c>
      <c r="V15" s="61">
        <f t="shared" si="4"/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</row>
    <row r="16" spans="1:27">
      <c r="A16" s="28">
        <v>13</v>
      </c>
      <c r="B16" s="34" t="s">
        <v>26</v>
      </c>
      <c r="C16" s="64">
        <v>200000</v>
      </c>
      <c r="D16" s="3">
        <v>0</v>
      </c>
      <c r="E16" s="4">
        <v>0</v>
      </c>
      <c r="F16" s="17">
        <v>0</v>
      </c>
      <c r="G16" s="28">
        <v>0</v>
      </c>
      <c r="H16" s="16">
        <v>0</v>
      </c>
      <c r="I16" s="34">
        <v>0</v>
      </c>
      <c r="J16" s="34">
        <v>0</v>
      </c>
      <c r="K16" s="34">
        <v>0</v>
      </c>
      <c r="L16" s="34">
        <v>0</v>
      </c>
      <c r="M16" s="34">
        <v>0</v>
      </c>
      <c r="N16" s="28">
        <v>0</v>
      </c>
      <c r="O16" s="31">
        <v>0</v>
      </c>
      <c r="P16" s="67">
        <v>0</v>
      </c>
      <c r="Q16" s="47">
        <v>0</v>
      </c>
      <c r="R16" s="54">
        <f t="shared" si="0"/>
        <v>1</v>
      </c>
      <c r="S16" s="45">
        <f t="shared" si="1"/>
        <v>1</v>
      </c>
      <c r="T16" s="55">
        <f t="shared" si="2"/>
        <v>101</v>
      </c>
      <c r="U16" s="56">
        <f t="shared" si="3"/>
        <v>1</v>
      </c>
      <c r="V16" s="61">
        <f t="shared" si="4"/>
        <v>0</v>
      </c>
      <c r="W16" s="34">
        <v>0</v>
      </c>
      <c r="X16" s="34">
        <v>0</v>
      </c>
      <c r="Y16" s="34">
        <v>0</v>
      </c>
      <c r="Z16" s="34">
        <v>0</v>
      </c>
      <c r="AA16" s="34">
        <v>0</v>
      </c>
    </row>
    <row r="17" spans="1:27">
      <c r="A17" s="28">
        <v>14</v>
      </c>
      <c r="B17" s="34" t="s">
        <v>27</v>
      </c>
      <c r="C17" s="64">
        <v>200000</v>
      </c>
      <c r="D17" s="3">
        <v>0</v>
      </c>
      <c r="E17" s="4">
        <v>0</v>
      </c>
      <c r="F17" s="17">
        <v>0</v>
      </c>
      <c r="G17" s="28">
        <v>0</v>
      </c>
      <c r="H17" s="16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28">
        <v>0</v>
      </c>
      <c r="O17" s="31">
        <v>0</v>
      </c>
      <c r="P17" s="67">
        <v>0</v>
      </c>
      <c r="Q17" s="47">
        <v>0</v>
      </c>
      <c r="R17" s="54">
        <f t="shared" si="0"/>
        <v>1</v>
      </c>
      <c r="S17" s="45">
        <f t="shared" si="1"/>
        <v>1</v>
      </c>
      <c r="T17" s="55">
        <f t="shared" si="2"/>
        <v>101</v>
      </c>
      <c r="U17" s="56">
        <f t="shared" si="3"/>
        <v>1</v>
      </c>
      <c r="V17" s="61">
        <f t="shared" si="4"/>
        <v>0</v>
      </c>
      <c r="W17" s="34">
        <v>0</v>
      </c>
      <c r="X17" s="34">
        <v>0</v>
      </c>
      <c r="Y17" s="34">
        <v>0</v>
      </c>
      <c r="Z17" s="34">
        <v>0</v>
      </c>
      <c r="AA17" s="34">
        <v>0</v>
      </c>
    </row>
    <row r="18" spans="1:27">
      <c r="A18" s="28">
        <v>15</v>
      </c>
      <c r="B18" s="34" t="s">
        <v>28</v>
      </c>
      <c r="C18" s="64">
        <v>200000</v>
      </c>
      <c r="D18" s="3">
        <v>0</v>
      </c>
      <c r="E18" s="4">
        <v>0</v>
      </c>
      <c r="F18" s="17">
        <v>0</v>
      </c>
      <c r="G18" s="28">
        <v>0</v>
      </c>
      <c r="H18" s="16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28">
        <v>0</v>
      </c>
      <c r="O18" s="31">
        <v>0</v>
      </c>
      <c r="P18" s="67">
        <v>0</v>
      </c>
      <c r="Q18" s="47">
        <v>0</v>
      </c>
      <c r="R18" s="54">
        <f t="shared" si="0"/>
        <v>1</v>
      </c>
      <c r="S18" s="45">
        <f t="shared" si="1"/>
        <v>1</v>
      </c>
      <c r="T18" s="55">
        <f t="shared" si="2"/>
        <v>101</v>
      </c>
      <c r="U18" s="56">
        <f t="shared" si="3"/>
        <v>1</v>
      </c>
      <c r="V18" s="61">
        <f t="shared" si="4"/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</row>
    <row r="19" spans="1:27">
      <c r="A19" s="28">
        <v>16</v>
      </c>
      <c r="B19" s="34" t="s">
        <v>30</v>
      </c>
      <c r="C19" s="64">
        <v>200000</v>
      </c>
      <c r="D19" s="3">
        <v>0</v>
      </c>
      <c r="E19" s="4">
        <v>0</v>
      </c>
      <c r="F19" s="17">
        <v>0</v>
      </c>
      <c r="G19" s="28">
        <v>0</v>
      </c>
      <c r="H19" s="16">
        <v>0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28">
        <v>0</v>
      </c>
      <c r="O19" s="31">
        <v>0</v>
      </c>
      <c r="P19" s="67">
        <v>0</v>
      </c>
      <c r="Q19" s="47">
        <v>0</v>
      </c>
      <c r="R19" s="54">
        <f t="shared" si="0"/>
        <v>1</v>
      </c>
      <c r="S19" s="45">
        <f t="shared" si="1"/>
        <v>1</v>
      </c>
      <c r="T19" s="55">
        <f t="shared" si="2"/>
        <v>101</v>
      </c>
      <c r="U19" s="56">
        <f t="shared" si="3"/>
        <v>1</v>
      </c>
      <c r="V19" s="61">
        <f t="shared" si="4"/>
        <v>0</v>
      </c>
      <c r="W19" s="34">
        <v>0</v>
      </c>
      <c r="X19" s="34">
        <v>0</v>
      </c>
      <c r="Y19" s="34">
        <v>0</v>
      </c>
      <c r="Z19" s="34">
        <v>0</v>
      </c>
      <c r="AA19" s="34">
        <v>0</v>
      </c>
    </row>
    <row r="20" spans="1:27">
      <c r="A20" s="28">
        <v>17</v>
      </c>
      <c r="B20" s="34" t="s">
        <v>31</v>
      </c>
      <c r="C20" s="64">
        <v>200000</v>
      </c>
      <c r="D20" s="3">
        <v>0</v>
      </c>
      <c r="E20" s="4">
        <v>0</v>
      </c>
      <c r="F20" s="17">
        <v>0</v>
      </c>
      <c r="G20" s="28">
        <v>0</v>
      </c>
      <c r="H20" s="16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28">
        <v>0</v>
      </c>
      <c r="O20" s="31">
        <v>0</v>
      </c>
      <c r="P20" s="67">
        <v>0</v>
      </c>
      <c r="Q20" s="47">
        <v>0</v>
      </c>
      <c r="R20" s="54">
        <f t="shared" si="0"/>
        <v>1</v>
      </c>
      <c r="S20" s="45">
        <f t="shared" si="1"/>
        <v>1</v>
      </c>
      <c r="T20" s="55">
        <f t="shared" si="2"/>
        <v>101</v>
      </c>
      <c r="U20" s="56">
        <f t="shared" si="3"/>
        <v>1</v>
      </c>
      <c r="V20" s="61">
        <f t="shared" si="4"/>
        <v>0</v>
      </c>
      <c r="W20" s="34">
        <v>0</v>
      </c>
      <c r="X20" s="34">
        <v>0</v>
      </c>
      <c r="Y20" s="34">
        <v>0</v>
      </c>
      <c r="Z20" s="34">
        <v>0</v>
      </c>
      <c r="AA20" s="34">
        <v>0</v>
      </c>
    </row>
    <row r="21" spans="1:27">
      <c r="A21" s="28">
        <v>18</v>
      </c>
      <c r="B21" s="34" t="s">
        <v>32</v>
      </c>
      <c r="C21" s="64">
        <v>200000</v>
      </c>
      <c r="D21" s="3">
        <v>0</v>
      </c>
      <c r="E21" s="4">
        <v>0</v>
      </c>
      <c r="F21" s="17">
        <v>0</v>
      </c>
      <c r="G21" s="28">
        <v>0</v>
      </c>
      <c r="H21" s="16">
        <v>0</v>
      </c>
      <c r="I21" s="34">
        <v>0</v>
      </c>
      <c r="J21" s="34">
        <v>0</v>
      </c>
      <c r="K21" s="34">
        <v>0</v>
      </c>
      <c r="L21" s="34">
        <v>0</v>
      </c>
      <c r="M21" s="34">
        <v>0</v>
      </c>
      <c r="N21" s="28">
        <v>0</v>
      </c>
      <c r="O21" s="31">
        <v>0</v>
      </c>
      <c r="P21" s="67">
        <v>0</v>
      </c>
      <c r="Q21" s="47">
        <v>0</v>
      </c>
      <c r="R21" s="54">
        <f t="shared" si="0"/>
        <v>1</v>
      </c>
      <c r="S21" s="45">
        <f t="shared" si="1"/>
        <v>1</v>
      </c>
      <c r="T21" s="55">
        <f t="shared" si="2"/>
        <v>101</v>
      </c>
      <c r="U21" s="56">
        <f t="shared" si="3"/>
        <v>1</v>
      </c>
      <c r="V21" s="61">
        <f t="shared" si="4"/>
        <v>0</v>
      </c>
      <c r="W21" s="34">
        <v>0</v>
      </c>
      <c r="X21" s="34">
        <v>0</v>
      </c>
      <c r="Y21" s="34">
        <v>0</v>
      </c>
      <c r="Z21" s="34">
        <v>0</v>
      </c>
      <c r="AA21" s="34">
        <v>0</v>
      </c>
    </row>
    <row r="22" spans="1:27">
      <c r="A22" s="28">
        <v>19</v>
      </c>
      <c r="B22" s="34" t="s">
        <v>33</v>
      </c>
      <c r="C22" s="64">
        <v>200000</v>
      </c>
      <c r="D22" s="3">
        <v>0</v>
      </c>
      <c r="E22" s="4">
        <v>0</v>
      </c>
      <c r="F22" s="17">
        <v>0</v>
      </c>
      <c r="G22" s="28">
        <v>0</v>
      </c>
      <c r="H22" s="16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28">
        <v>0</v>
      </c>
      <c r="O22" s="31">
        <v>0</v>
      </c>
      <c r="P22" s="67">
        <v>0</v>
      </c>
      <c r="Q22" s="47">
        <v>0</v>
      </c>
      <c r="R22" s="54">
        <f t="shared" si="0"/>
        <v>1</v>
      </c>
      <c r="S22" s="45">
        <f t="shared" si="1"/>
        <v>1</v>
      </c>
      <c r="T22" s="55">
        <f t="shared" si="2"/>
        <v>101</v>
      </c>
      <c r="U22" s="56">
        <f t="shared" si="3"/>
        <v>1</v>
      </c>
      <c r="V22" s="61">
        <f t="shared" si="4"/>
        <v>0</v>
      </c>
      <c r="W22" s="34">
        <v>0</v>
      </c>
      <c r="X22" s="34">
        <v>0</v>
      </c>
      <c r="Y22" s="34">
        <v>0</v>
      </c>
      <c r="Z22" s="34">
        <v>0</v>
      </c>
      <c r="AA22" s="34">
        <v>0</v>
      </c>
    </row>
    <row r="23" spans="1:27">
      <c r="A23" s="28">
        <v>20</v>
      </c>
      <c r="B23" s="34" t="s">
        <v>34</v>
      </c>
      <c r="C23" s="64">
        <v>200000</v>
      </c>
      <c r="D23" s="3">
        <v>0</v>
      </c>
      <c r="E23" s="4">
        <v>0</v>
      </c>
      <c r="F23" s="17">
        <v>0</v>
      </c>
      <c r="G23" s="28">
        <v>0</v>
      </c>
      <c r="H23" s="16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28">
        <v>0</v>
      </c>
      <c r="O23" s="31">
        <v>0</v>
      </c>
      <c r="P23" s="67">
        <v>0</v>
      </c>
      <c r="Q23" s="47">
        <v>0</v>
      </c>
      <c r="R23" s="54">
        <f t="shared" si="0"/>
        <v>1</v>
      </c>
      <c r="S23" s="45">
        <f t="shared" si="1"/>
        <v>1</v>
      </c>
      <c r="T23" s="55">
        <f t="shared" si="2"/>
        <v>101</v>
      </c>
      <c r="U23" s="56">
        <f t="shared" si="3"/>
        <v>1</v>
      </c>
      <c r="V23" s="61">
        <f t="shared" si="4"/>
        <v>0</v>
      </c>
      <c r="W23" s="34">
        <v>0</v>
      </c>
      <c r="X23" s="34">
        <v>0</v>
      </c>
      <c r="Y23" s="34">
        <v>0</v>
      </c>
      <c r="Z23" s="34">
        <v>0</v>
      </c>
      <c r="AA23" s="34">
        <v>0</v>
      </c>
    </row>
    <row r="24" spans="1:27">
      <c r="A24" s="28">
        <v>21</v>
      </c>
      <c r="B24" s="34" t="s">
        <v>35</v>
      </c>
      <c r="C24" s="64">
        <v>200000</v>
      </c>
      <c r="D24" s="3">
        <v>0</v>
      </c>
      <c r="E24" s="4">
        <v>0</v>
      </c>
      <c r="F24" s="17">
        <v>0</v>
      </c>
      <c r="G24" s="28">
        <v>0</v>
      </c>
      <c r="H24" s="16">
        <v>0</v>
      </c>
      <c r="I24" s="34">
        <v>0</v>
      </c>
      <c r="J24" s="34">
        <v>0</v>
      </c>
      <c r="K24" s="34">
        <v>0</v>
      </c>
      <c r="L24" s="34">
        <v>0</v>
      </c>
      <c r="M24" s="34">
        <v>0</v>
      </c>
      <c r="N24" s="28">
        <v>0</v>
      </c>
      <c r="O24" s="31">
        <v>0</v>
      </c>
      <c r="P24" s="67">
        <v>0</v>
      </c>
      <c r="Q24" s="47">
        <v>0</v>
      </c>
      <c r="R24" s="54">
        <f t="shared" si="0"/>
        <v>1</v>
      </c>
      <c r="S24" s="45">
        <f t="shared" si="1"/>
        <v>1</v>
      </c>
      <c r="T24" s="55">
        <f t="shared" si="2"/>
        <v>101</v>
      </c>
      <c r="U24" s="56">
        <f t="shared" si="3"/>
        <v>1</v>
      </c>
      <c r="V24" s="61">
        <f t="shared" si="4"/>
        <v>0</v>
      </c>
      <c r="W24" s="34">
        <v>0</v>
      </c>
      <c r="X24" s="34">
        <v>0</v>
      </c>
      <c r="Y24" s="34">
        <v>0</v>
      </c>
      <c r="Z24" s="34">
        <v>0</v>
      </c>
      <c r="AA24" s="34">
        <v>0</v>
      </c>
    </row>
    <row r="25" spans="1:27">
      <c r="A25" s="28">
        <v>22</v>
      </c>
      <c r="B25" s="34" t="s">
        <v>36</v>
      </c>
      <c r="C25" s="64">
        <v>200000</v>
      </c>
      <c r="D25" s="3">
        <v>0</v>
      </c>
      <c r="E25" s="4">
        <v>0</v>
      </c>
      <c r="F25" s="17">
        <v>0</v>
      </c>
      <c r="G25" s="28">
        <v>0</v>
      </c>
      <c r="H25" s="16">
        <v>0</v>
      </c>
      <c r="I25" s="34">
        <v>0</v>
      </c>
      <c r="J25" s="34">
        <v>0</v>
      </c>
      <c r="K25" s="34">
        <v>0</v>
      </c>
      <c r="L25" s="34">
        <v>0</v>
      </c>
      <c r="M25" s="34">
        <v>0</v>
      </c>
      <c r="N25" s="28">
        <v>0</v>
      </c>
      <c r="O25" s="31">
        <v>0</v>
      </c>
      <c r="P25" s="67">
        <v>0</v>
      </c>
      <c r="Q25" s="47">
        <v>0</v>
      </c>
      <c r="R25" s="54">
        <f t="shared" si="0"/>
        <v>1</v>
      </c>
      <c r="S25" s="45">
        <f t="shared" si="1"/>
        <v>1</v>
      </c>
      <c r="T25" s="55">
        <f t="shared" si="2"/>
        <v>101</v>
      </c>
      <c r="U25" s="56">
        <f t="shared" si="3"/>
        <v>1</v>
      </c>
      <c r="V25" s="61">
        <f t="shared" si="4"/>
        <v>0</v>
      </c>
      <c r="W25" s="34">
        <v>0</v>
      </c>
      <c r="X25" s="34">
        <v>0</v>
      </c>
      <c r="Y25" s="34">
        <v>0</v>
      </c>
      <c r="Z25" s="34">
        <v>0</v>
      </c>
      <c r="AA25" s="34">
        <v>0</v>
      </c>
    </row>
    <row r="26" spans="1:27">
      <c r="A26" s="28">
        <v>23</v>
      </c>
      <c r="B26" s="34" t="s">
        <v>37</v>
      </c>
      <c r="C26" s="64">
        <v>200000</v>
      </c>
      <c r="D26" s="3">
        <v>0</v>
      </c>
      <c r="E26" s="4">
        <v>0</v>
      </c>
      <c r="F26" s="17">
        <v>0</v>
      </c>
      <c r="G26" s="28">
        <v>0</v>
      </c>
      <c r="H26" s="16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28">
        <v>0</v>
      </c>
      <c r="O26" s="31">
        <v>0</v>
      </c>
      <c r="P26" s="67">
        <v>0</v>
      </c>
      <c r="Q26" s="47">
        <v>0</v>
      </c>
      <c r="R26" s="54">
        <f t="shared" si="0"/>
        <v>1</v>
      </c>
      <c r="S26" s="45">
        <f t="shared" si="1"/>
        <v>1</v>
      </c>
      <c r="T26" s="55">
        <f t="shared" si="2"/>
        <v>101</v>
      </c>
      <c r="U26" s="56">
        <f t="shared" si="3"/>
        <v>1</v>
      </c>
      <c r="V26" s="61">
        <f t="shared" si="4"/>
        <v>0</v>
      </c>
      <c r="W26" s="34">
        <v>0</v>
      </c>
      <c r="X26" s="34">
        <v>0</v>
      </c>
      <c r="Y26" s="34">
        <v>0</v>
      </c>
      <c r="Z26" s="34">
        <v>0</v>
      </c>
      <c r="AA26" s="34">
        <v>0</v>
      </c>
    </row>
    <row r="27" spans="1:27">
      <c r="A27" s="28">
        <v>24</v>
      </c>
      <c r="B27" s="34" t="s">
        <v>38</v>
      </c>
      <c r="C27" s="64">
        <v>200000</v>
      </c>
      <c r="D27" s="3">
        <v>0</v>
      </c>
      <c r="E27" s="4">
        <v>0</v>
      </c>
      <c r="F27" s="17">
        <v>0</v>
      </c>
      <c r="G27" s="28">
        <v>0</v>
      </c>
      <c r="H27" s="16">
        <v>0</v>
      </c>
      <c r="I27" s="34">
        <v>0</v>
      </c>
      <c r="J27" s="34">
        <v>0</v>
      </c>
      <c r="K27" s="34">
        <v>0</v>
      </c>
      <c r="L27" s="34">
        <v>0</v>
      </c>
      <c r="M27" s="34">
        <v>0</v>
      </c>
      <c r="N27" s="28">
        <v>0</v>
      </c>
      <c r="O27" s="31">
        <v>0</v>
      </c>
      <c r="P27" s="67">
        <v>0</v>
      </c>
      <c r="Q27" s="47">
        <v>0</v>
      </c>
      <c r="R27" s="54">
        <f t="shared" si="0"/>
        <v>1</v>
      </c>
      <c r="S27" s="45">
        <f t="shared" si="1"/>
        <v>1</v>
      </c>
      <c r="T27" s="55">
        <f t="shared" si="2"/>
        <v>101</v>
      </c>
      <c r="U27" s="56">
        <f t="shared" si="3"/>
        <v>1</v>
      </c>
      <c r="V27" s="61">
        <f t="shared" si="4"/>
        <v>0</v>
      </c>
      <c r="W27" s="34">
        <v>0</v>
      </c>
      <c r="X27" s="34">
        <v>0</v>
      </c>
      <c r="Y27" s="34">
        <v>0</v>
      </c>
      <c r="Z27" s="34">
        <v>0</v>
      </c>
      <c r="AA27" s="34">
        <v>0</v>
      </c>
    </row>
    <row r="28" spans="1:27">
      <c r="A28" s="28">
        <v>25</v>
      </c>
      <c r="B28" s="34" t="s">
        <v>39</v>
      </c>
      <c r="C28" s="64">
        <v>200000</v>
      </c>
      <c r="D28" s="3">
        <v>0</v>
      </c>
      <c r="E28" s="4">
        <v>0</v>
      </c>
      <c r="F28" s="17">
        <v>0</v>
      </c>
      <c r="G28" s="28">
        <v>0</v>
      </c>
      <c r="H28" s="16">
        <v>0</v>
      </c>
      <c r="I28" s="34">
        <v>0</v>
      </c>
      <c r="J28" s="34">
        <v>0</v>
      </c>
      <c r="K28" s="34">
        <v>0</v>
      </c>
      <c r="L28" s="34">
        <v>0</v>
      </c>
      <c r="M28" s="34">
        <v>0</v>
      </c>
      <c r="N28" s="28">
        <v>0</v>
      </c>
      <c r="O28" s="31">
        <v>0</v>
      </c>
      <c r="P28" s="67">
        <v>0</v>
      </c>
      <c r="Q28" s="47">
        <v>0</v>
      </c>
      <c r="R28" s="54">
        <f t="shared" si="0"/>
        <v>1</v>
      </c>
      <c r="S28" s="45">
        <f t="shared" si="1"/>
        <v>1</v>
      </c>
      <c r="T28" s="55">
        <f t="shared" si="2"/>
        <v>101</v>
      </c>
      <c r="U28" s="56">
        <f t="shared" si="3"/>
        <v>1</v>
      </c>
      <c r="V28" s="61">
        <f t="shared" si="4"/>
        <v>0</v>
      </c>
      <c r="W28" s="34">
        <v>0</v>
      </c>
      <c r="X28" s="34">
        <v>0</v>
      </c>
      <c r="Y28" s="34">
        <v>0</v>
      </c>
      <c r="Z28" s="34">
        <v>0</v>
      </c>
      <c r="AA28" s="34">
        <v>0</v>
      </c>
    </row>
    <row r="29" spans="1:27">
      <c r="A29" s="28">
        <v>26</v>
      </c>
      <c r="B29" s="34" t="s">
        <v>40</v>
      </c>
      <c r="C29" s="64">
        <v>200000</v>
      </c>
      <c r="D29" s="3">
        <v>0</v>
      </c>
      <c r="E29" s="4">
        <v>0</v>
      </c>
      <c r="F29" s="17">
        <v>0</v>
      </c>
      <c r="G29" s="28">
        <v>0</v>
      </c>
      <c r="H29" s="16">
        <v>0</v>
      </c>
      <c r="I29" s="34">
        <v>0</v>
      </c>
      <c r="J29" s="34">
        <v>0</v>
      </c>
      <c r="K29" s="34">
        <v>0</v>
      </c>
      <c r="L29" s="34">
        <v>0</v>
      </c>
      <c r="M29" s="34">
        <v>0</v>
      </c>
      <c r="N29" s="28">
        <v>0</v>
      </c>
      <c r="O29" s="31">
        <v>0</v>
      </c>
      <c r="P29" s="67">
        <v>0</v>
      </c>
      <c r="Q29" s="47">
        <v>0</v>
      </c>
      <c r="R29" s="54">
        <f t="shared" si="0"/>
        <v>1</v>
      </c>
      <c r="S29" s="45">
        <f t="shared" si="1"/>
        <v>1</v>
      </c>
      <c r="T29" s="55">
        <f t="shared" si="2"/>
        <v>101</v>
      </c>
      <c r="U29" s="56">
        <f t="shared" si="3"/>
        <v>1</v>
      </c>
      <c r="V29" s="61">
        <f t="shared" si="4"/>
        <v>0</v>
      </c>
      <c r="W29" s="34">
        <v>0</v>
      </c>
      <c r="X29" s="34">
        <v>0</v>
      </c>
      <c r="Y29" s="34">
        <v>0</v>
      </c>
      <c r="Z29" s="34">
        <v>0</v>
      </c>
      <c r="AA29" s="34">
        <v>0</v>
      </c>
    </row>
    <row r="30" spans="1:27">
      <c r="A30" s="28">
        <v>27</v>
      </c>
      <c r="B30" s="34" t="s">
        <v>24</v>
      </c>
      <c r="C30" s="64">
        <v>200000</v>
      </c>
      <c r="D30" s="3">
        <v>0</v>
      </c>
      <c r="E30" s="4">
        <v>0</v>
      </c>
      <c r="F30" s="17">
        <v>0</v>
      </c>
      <c r="G30" s="28">
        <v>0</v>
      </c>
      <c r="H30" s="16">
        <v>0</v>
      </c>
      <c r="I30" s="34">
        <v>0</v>
      </c>
      <c r="J30" s="34">
        <v>0</v>
      </c>
      <c r="K30" s="34">
        <v>0</v>
      </c>
      <c r="L30" s="34">
        <v>0</v>
      </c>
      <c r="M30" s="34">
        <v>0</v>
      </c>
      <c r="N30" s="28">
        <v>0</v>
      </c>
      <c r="O30" s="31">
        <v>0</v>
      </c>
      <c r="P30" s="67">
        <v>0</v>
      </c>
      <c r="Q30" s="47">
        <v>0</v>
      </c>
      <c r="R30" s="54">
        <f t="shared" si="0"/>
        <v>1</v>
      </c>
      <c r="S30" s="45">
        <f t="shared" si="1"/>
        <v>1</v>
      </c>
      <c r="T30" s="55">
        <f t="shared" si="2"/>
        <v>101</v>
      </c>
      <c r="U30" s="56">
        <f t="shared" si="3"/>
        <v>1</v>
      </c>
      <c r="V30" s="61">
        <f t="shared" si="4"/>
        <v>0</v>
      </c>
      <c r="W30" s="34">
        <v>0</v>
      </c>
      <c r="X30" s="34">
        <v>0</v>
      </c>
      <c r="Y30" s="34">
        <v>0</v>
      </c>
      <c r="Z30" s="34">
        <v>0</v>
      </c>
      <c r="AA30" s="34">
        <v>0</v>
      </c>
    </row>
    <row r="31" spans="1:27">
      <c r="A31" s="28">
        <v>28</v>
      </c>
      <c r="B31" s="34" t="s">
        <v>41</v>
      </c>
      <c r="C31" s="64">
        <v>200000</v>
      </c>
      <c r="D31" s="3">
        <v>0</v>
      </c>
      <c r="E31" s="4">
        <v>0</v>
      </c>
      <c r="F31" s="17">
        <v>0</v>
      </c>
      <c r="G31" s="28">
        <v>0</v>
      </c>
      <c r="H31" s="16">
        <v>0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  <c r="N31" s="28">
        <v>0</v>
      </c>
      <c r="O31" s="31">
        <v>0</v>
      </c>
      <c r="P31" s="67">
        <v>0</v>
      </c>
      <c r="Q31" s="47">
        <v>0</v>
      </c>
      <c r="R31" s="54">
        <f t="shared" si="0"/>
        <v>1</v>
      </c>
      <c r="S31" s="45">
        <f t="shared" si="1"/>
        <v>1</v>
      </c>
      <c r="T31" s="55">
        <f t="shared" si="2"/>
        <v>101</v>
      </c>
      <c r="U31" s="56">
        <f t="shared" si="3"/>
        <v>1</v>
      </c>
      <c r="V31" s="61">
        <f t="shared" si="4"/>
        <v>0</v>
      </c>
      <c r="W31" s="34">
        <v>0</v>
      </c>
      <c r="X31" s="34">
        <v>0</v>
      </c>
      <c r="Y31" s="34">
        <v>0</v>
      </c>
      <c r="Z31" s="34">
        <v>0</v>
      </c>
      <c r="AA31" s="34">
        <v>0</v>
      </c>
    </row>
    <row r="32" spans="1:27">
      <c r="A32" s="28">
        <v>29</v>
      </c>
      <c r="B32" s="34" t="s">
        <v>42</v>
      </c>
      <c r="C32" s="64">
        <v>200000</v>
      </c>
      <c r="D32" s="3">
        <v>0</v>
      </c>
      <c r="E32" s="4">
        <v>0</v>
      </c>
      <c r="F32" s="17">
        <v>0</v>
      </c>
      <c r="G32" s="28">
        <v>0</v>
      </c>
      <c r="H32" s="16">
        <v>0</v>
      </c>
      <c r="I32" s="34">
        <v>0</v>
      </c>
      <c r="J32" s="34">
        <v>0</v>
      </c>
      <c r="K32" s="34">
        <v>0</v>
      </c>
      <c r="L32" s="34">
        <v>0</v>
      </c>
      <c r="M32" s="34">
        <v>0</v>
      </c>
      <c r="N32" s="28">
        <v>0</v>
      </c>
      <c r="O32" s="31">
        <v>0</v>
      </c>
      <c r="P32" s="67">
        <v>0</v>
      </c>
      <c r="Q32" s="47">
        <v>0</v>
      </c>
      <c r="R32" s="54">
        <f t="shared" si="0"/>
        <v>1</v>
      </c>
      <c r="S32" s="45">
        <f t="shared" si="1"/>
        <v>1</v>
      </c>
      <c r="T32" s="55">
        <f t="shared" si="2"/>
        <v>101</v>
      </c>
      <c r="U32" s="56">
        <f t="shared" si="3"/>
        <v>1</v>
      </c>
      <c r="V32" s="61">
        <f t="shared" si="4"/>
        <v>0</v>
      </c>
      <c r="W32" s="34">
        <v>0</v>
      </c>
      <c r="X32" s="34">
        <v>0</v>
      </c>
      <c r="Y32" s="34">
        <v>0</v>
      </c>
      <c r="Z32" s="34">
        <v>0</v>
      </c>
      <c r="AA32" s="34">
        <v>0</v>
      </c>
    </row>
    <row r="33" spans="1:27" ht="17.25" thickBot="1">
      <c r="A33" s="29">
        <v>30</v>
      </c>
      <c r="B33" s="24" t="s">
        <v>43</v>
      </c>
      <c r="C33" s="65">
        <v>200000</v>
      </c>
      <c r="D33" s="41">
        <v>0</v>
      </c>
      <c r="E33" s="42">
        <v>0</v>
      </c>
      <c r="F33" s="43">
        <v>0</v>
      </c>
      <c r="G33" s="29">
        <v>0</v>
      </c>
      <c r="H33" s="21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9">
        <v>0</v>
      </c>
      <c r="O33" s="32">
        <v>0</v>
      </c>
      <c r="P33" s="68">
        <v>0</v>
      </c>
      <c r="Q33" s="48">
        <v>0</v>
      </c>
      <c r="R33" s="57">
        <f t="shared" si="0"/>
        <v>1</v>
      </c>
      <c r="S33" s="58">
        <f t="shared" si="1"/>
        <v>1</v>
      </c>
      <c r="T33" s="59">
        <f t="shared" si="2"/>
        <v>101</v>
      </c>
      <c r="U33" s="60">
        <f t="shared" si="3"/>
        <v>1</v>
      </c>
      <c r="V33" s="62">
        <f t="shared" si="4"/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</row>
    <row r="34" spans="1:27">
      <c r="C34"/>
      <c r="M34" s="26"/>
      <c r="P34"/>
      <c r="V34" s="23"/>
      <c r="AA34" s="26"/>
    </row>
    <row r="35" spans="1:27">
      <c r="C35"/>
      <c r="M35" s="26"/>
      <c r="P35"/>
      <c r="V35" s="23"/>
      <c r="AA35" s="26"/>
    </row>
    <row r="37" spans="1:27">
      <c r="C37"/>
      <c r="M37" s="26"/>
      <c r="P37"/>
      <c r="AA37" s="26"/>
    </row>
    <row r="38" spans="1:27">
      <c r="C38"/>
      <c r="M38" s="26"/>
      <c r="P38"/>
      <c r="AA38" s="26"/>
    </row>
    <row r="39" spans="1:27">
      <c r="C39"/>
      <c r="M39" s="26"/>
      <c r="P39"/>
      <c r="AA39" s="26"/>
    </row>
    <row r="40" spans="1:27">
      <c r="C40"/>
      <c r="M40" s="26"/>
      <c r="P40"/>
      <c r="AA40" s="26"/>
    </row>
    <row r="41" spans="1:27">
      <c r="C41"/>
      <c r="M41" s="26"/>
      <c r="P41"/>
      <c r="AA41" s="26"/>
    </row>
    <row r="42" spans="1:27">
      <c r="C42"/>
      <c r="M42" s="26"/>
      <c r="P42"/>
      <c r="AA42" s="26"/>
    </row>
    <row r="43" spans="1:27">
      <c r="C43"/>
      <c r="M43" s="26"/>
      <c r="P43"/>
      <c r="AA43" s="26"/>
    </row>
    <row r="44" spans="1:27">
      <c r="C44"/>
      <c r="M44" s="26"/>
      <c r="P44"/>
      <c r="AA44" s="26"/>
    </row>
    <row r="45" spans="1:27">
      <c r="C45"/>
      <c r="M45" s="26"/>
      <c r="P45"/>
      <c r="AA45" s="26"/>
    </row>
    <row r="46" spans="1:27">
      <c r="C46"/>
      <c r="M46" s="26"/>
      <c r="P46"/>
      <c r="AA46" s="26"/>
    </row>
    <row r="47" spans="1:27">
      <c r="C47"/>
      <c r="M47" s="26"/>
      <c r="P47"/>
      <c r="AA47" s="26"/>
    </row>
    <row r="48" spans="1:27">
      <c r="C48"/>
      <c r="M48" s="26"/>
      <c r="P48"/>
      <c r="AA48" s="26"/>
    </row>
    <row r="49" spans="3:27">
      <c r="C49"/>
      <c r="M49" s="26"/>
      <c r="P49"/>
      <c r="AA49" s="26"/>
    </row>
    <row r="50" spans="3:27">
      <c r="C50"/>
      <c r="M50" s="26"/>
      <c r="P50"/>
      <c r="AA50" s="26"/>
    </row>
    <row r="51" spans="3:27">
      <c r="C51"/>
      <c r="M51" s="26"/>
      <c r="P51"/>
      <c r="AA51" s="26"/>
    </row>
    <row r="52" spans="3:27">
      <c r="C52"/>
      <c r="M52" s="26"/>
      <c r="P52"/>
      <c r="AA52" s="26"/>
    </row>
    <row r="53" spans="3:27">
      <c r="C53"/>
      <c r="M53" s="26"/>
      <c r="P53"/>
      <c r="AA53" s="26"/>
    </row>
    <row r="54" spans="3:27">
      <c r="C54"/>
      <c r="M54" s="26"/>
      <c r="P54"/>
      <c r="AA54" s="26"/>
    </row>
    <row r="55" spans="3:27">
      <c r="C55"/>
      <c r="M55" s="26"/>
      <c r="P55"/>
      <c r="AA55" s="26"/>
    </row>
    <row r="56" spans="3:27">
      <c r="C56"/>
      <c r="M56" s="26"/>
      <c r="P56"/>
      <c r="AA56" s="26"/>
    </row>
    <row r="57" spans="3:27">
      <c r="C57"/>
      <c r="M57" s="26"/>
      <c r="P57"/>
      <c r="AA57" s="26"/>
    </row>
    <row r="58" spans="3:27">
      <c r="C58"/>
      <c r="M58" s="26"/>
      <c r="P58"/>
      <c r="AA58" s="26"/>
    </row>
    <row r="59" spans="3:27">
      <c r="C59"/>
      <c r="M59" s="26"/>
      <c r="P59"/>
      <c r="AA59" s="26"/>
    </row>
    <row r="60" spans="3:27">
      <c r="C60"/>
      <c r="M60" s="26"/>
      <c r="P60"/>
      <c r="AA60" s="26"/>
    </row>
    <row r="61" spans="3:27">
      <c r="C61"/>
      <c r="M61" s="26"/>
      <c r="P61"/>
      <c r="AA61" s="26"/>
    </row>
    <row r="62" spans="3:27">
      <c r="C62"/>
      <c r="M62" s="26"/>
      <c r="P62"/>
      <c r="AA62" s="26"/>
    </row>
    <row r="63" spans="3:27">
      <c r="C63"/>
      <c r="M63" s="26"/>
      <c r="P63"/>
      <c r="AA63" s="26"/>
    </row>
    <row r="64" spans="3:27">
      <c r="C64"/>
      <c r="M64" s="26"/>
      <c r="P64"/>
      <c r="AA64" s="26"/>
    </row>
    <row r="65" spans="3:27">
      <c r="C65"/>
      <c r="M65" s="26"/>
      <c r="P65"/>
      <c r="AA65" s="26"/>
    </row>
    <row r="66" spans="3:27">
      <c r="C66"/>
      <c r="M66" s="26"/>
      <c r="P66"/>
      <c r="AA66" s="26"/>
    </row>
    <row r="67" spans="3:27">
      <c r="C67"/>
      <c r="M67" s="26"/>
      <c r="P67"/>
      <c r="AA67" s="26"/>
    </row>
    <row r="68" spans="3:27">
      <c r="C68"/>
      <c r="M68" s="26"/>
      <c r="P68"/>
      <c r="AA68" s="26"/>
    </row>
    <row r="69" spans="3:27">
      <c r="C69"/>
      <c r="M69" s="26"/>
      <c r="P69"/>
      <c r="AA69" s="26"/>
    </row>
    <row r="70" spans="3:27">
      <c r="C70"/>
      <c r="M70" s="26"/>
      <c r="P70"/>
      <c r="AA70" s="26"/>
    </row>
    <row r="99" spans="1:1" ht="17.25" thickBot="1"/>
    <row r="100" spans="1:1" ht="17.25" thickBot="1">
      <c r="A100" s="13" t="s">
        <v>2</v>
      </c>
    </row>
  </sheetData>
  <mergeCells count="16"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F1:H1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F7" sqref="F7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17</v>
      </c>
      <c r="B1" s="8" t="s">
        <v>18</v>
      </c>
      <c r="C1" s="8" t="s">
        <v>19</v>
      </c>
      <c r="D1" s="9" t="s">
        <v>52</v>
      </c>
    </row>
    <row r="2" spans="1:10">
      <c r="A2" s="11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7" t="s">
        <v>0</v>
      </c>
      <c r="B4" s="7"/>
      <c r="C4" s="7"/>
      <c r="J4" s="12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A7" s="7" t="s">
        <v>0</v>
      </c>
      <c r="B7" s="7"/>
      <c r="C7" s="7"/>
    </row>
    <row r="8" spans="1:10">
      <c r="A8" s="7" t="s">
        <v>0</v>
      </c>
      <c r="B8" s="7"/>
      <c r="C8" s="7"/>
    </row>
    <row r="9" spans="1:10">
      <c r="A9" s="7" t="s">
        <v>0</v>
      </c>
      <c r="B9" s="7"/>
      <c r="C9" s="7"/>
    </row>
    <row r="10" spans="1:10">
      <c r="A10" s="10" t="s">
        <v>0</v>
      </c>
      <c r="B10" s="7"/>
      <c r="C10" s="7"/>
    </row>
    <row r="11" spans="1:10">
      <c r="A11" s="7" t="s">
        <v>0</v>
      </c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7">
        <v>0</v>
      </c>
      <c r="E1" s="17">
        <v>0</v>
      </c>
      <c r="F1" s="17">
        <v>0</v>
      </c>
      <c r="G1" s="14">
        <v>0</v>
      </c>
      <c r="H1" s="14">
        <v>0</v>
      </c>
      <c r="I1" s="14">
        <v>0</v>
      </c>
      <c r="J1" s="14">
        <v>0</v>
      </c>
      <c r="K1" s="14">
        <v>0</v>
      </c>
      <c r="L1" s="14">
        <v>0</v>
      </c>
      <c r="M1" s="18">
        <v>0</v>
      </c>
    </row>
    <row r="2" spans="1:13">
      <c r="A2" s="5">
        <v>200000</v>
      </c>
      <c r="B2" s="3">
        <v>0</v>
      </c>
      <c r="C2" s="4">
        <v>0</v>
      </c>
      <c r="D2" s="17">
        <v>0</v>
      </c>
      <c r="E2" s="17">
        <v>0</v>
      </c>
      <c r="F2" s="17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8">
        <v>0</v>
      </c>
    </row>
    <row r="3" spans="1:13">
      <c r="A3" s="5">
        <v>200000</v>
      </c>
      <c r="B3" s="3">
        <v>0</v>
      </c>
      <c r="C3" s="4">
        <v>0</v>
      </c>
      <c r="D3" s="17">
        <v>0</v>
      </c>
      <c r="E3" s="17">
        <v>0</v>
      </c>
      <c r="F3" s="17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8">
        <v>0</v>
      </c>
    </row>
    <row r="4" spans="1:13">
      <c r="A4" s="5">
        <v>200000</v>
      </c>
      <c r="B4" s="3">
        <v>0</v>
      </c>
      <c r="C4" s="4">
        <v>0</v>
      </c>
      <c r="D4" s="17">
        <v>0</v>
      </c>
      <c r="E4" s="17">
        <v>0</v>
      </c>
      <c r="F4" s="17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8">
        <v>0</v>
      </c>
    </row>
    <row r="5" spans="1:13">
      <c r="A5" s="5">
        <v>200000</v>
      </c>
      <c r="B5" s="3">
        <v>0</v>
      </c>
      <c r="C5" s="4">
        <v>0</v>
      </c>
      <c r="D5" s="17">
        <v>0</v>
      </c>
      <c r="E5" s="17">
        <v>0</v>
      </c>
      <c r="F5" s="17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8">
        <v>0</v>
      </c>
    </row>
    <row r="6" spans="1:13">
      <c r="A6" s="5">
        <v>200000</v>
      </c>
      <c r="B6" s="3">
        <v>0</v>
      </c>
      <c r="C6" s="4">
        <v>0</v>
      </c>
      <c r="D6" s="17">
        <v>0</v>
      </c>
      <c r="E6" s="17">
        <v>0</v>
      </c>
      <c r="F6" s="17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8">
        <v>0</v>
      </c>
    </row>
    <row r="7" spans="1:13">
      <c r="A7" s="5">
        <v>200000</v>
      </c>
      <c r="B7" s="3">
        <v>0</v>
      </c>
      <c r="C7" s="4">
        <v>0</v>
      </c>
      <c r="D7" s="17">
        <v>0</v>
      </c>
      <c r="E7" s="17">
        <v>0</v>
      </c>
      <c r="F7" s="17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8">
        <v>0</v>
      </c>
    </row>
    <row r="8" spans="1:13">
      <c r="A8" s="5">
        <v>200000</v>
      </c>
      <c r="B8" s="3">
        <v>0</v>
      </c>
      <c r="C8" s="4">
        <v>0</v>
      </c>
      <c r="D8" s="17">
        <v>0</v>
      </c>
      <c r="E8" s="17">
        <v>0</v>
      </c>
      <c r="F8" s="17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8">
        <v>0</v>
      </c>
    </row>
    <row r="9" spans="1:13">
      <c r="A9" s="5">
        <v>200000</v>
      </c>
      <c r="B9" s="3">
        <v>0</v>
      </c>
      <c r="C9" s="4">
        <v>0</v>
      </c>
      <c r="D9" s="17">
        <v>0</v>
      </c>
      <c r="E9" s="17">
        <v>0</v>
      </c>
      <c r="F9" s="17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8">
        <v>0</v>
      </c>
    </row>
    <row r="10" spans="1:13">
      <c r="A10" s="5">
        <v>200000</v>
      </c>
      <c r="B10" s="3">
        <v>0</v>
      </c>
      <c r="C10" s="4">
        <v>0</v>
      </c>
      <c r="D10" s="17">
        <v>0</v>
      </c>
      <c r="E10" s="17">
        <v>0</v>
      </c>
      <c r="F10" s="17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8">
        <v>0</v>
      </c>
    </row>
    <row r="11" spans="1:13">
      <c r="A11" s="5">
        <v>200000</v>
      </c>
      <c r="B11" s="3">
        <v>0</v>
      </c>
      <c r="C11" s="4">
        <v>0</v>
      </c>
      <c r="D11" s="17">
        <v>0</v>
      </c>
      <c r="E11" s="17">
        <v>0</v>
      </c>
      <c r="F11" s="17">
        <v>0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8">
        <v>0</v>
      </c>
    </row>
    <row r="12" spans="1:13">
      <c r="A12" s="5">
        <v>200000</v>
      </c>
      <c r="B12" s="3">
        <v>0</v>
      </c>
      <c r="C12" s="4">
        <v>0</v>
      </c>
      <c r="D12" s="17">
        <v>0</v>
      </c>
      <c r="E12" s="17">
        <v>0</v>
      </c>
      <c r="F12" s="17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8">
        <v>0</v>
      </c>
    </row>
    <row r="13" spans="1:13">
      <c r="A13" s="5">
        <v>200000</v>
      </c>
      <c r="B13" s="3">
        <v>0</v>
      </c>
      <c r="C13" s="4">
        <v>0</v>
      </c>
      <c r="D13" s="17">
        <v>0</v>
      </c>
      <c r="E13" s="17">
        <v>0</v>
      </c>
      <c r="F13" s="17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8">
        <v>0</v>
      </c>
    </row>
    <row r="14" spans="1:13">
      <c r="A14" s="5">
        <v>200000</v>
      </c>
      <c r="B14" s="3">
        <v>0</v>
      </c>
      <c r="C14" s="4">
        <v>0</v>
      </c>
      <c r="D14" s="17">
        <v>0</v>
      </c>
      <c r="E14" s="17">
        <v>0</v>
      </c>
      <c r="F14" s="17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8">
        <v>0</v>
      </c>
    </row>
    <row r="15" spans="1:13">
      <c r="A15" s="5">
        <v>200000</v>
      </c>
      <c r="B15" s="3">
        <v>0</v>
      </c>
      <c r="C15" s="4">
        <v>0</v>
      </c>
      <c r="D15" s="17">
        <v>0</v>
      </c>
      <c r="E15" s="17">
        <v>0</v>
      </c>
      <c r="F15" s="17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8">
        <v>0</v>
      </c>
    </row>
    <row r="16" spans="1:13">
      <c r="A16" s="5">
        <v>200000</v>
      </c>
      <c r="B16" s="3">
        <v>0</v>
      </c>
      <c r="C16" s="4">
        <v>0</v>
      </c>
      <c r="D16" s="17">
        <v>0</v>
      </c>
      <c r="E16" s="17">
        <v>0</v>
      </c>
      <c r="F16" s="17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8">
        <v>0</v>
      </c>
    </row>
    <row r="17" spans="1:13">
      <c r="A17" s="5">
        <v>200000</v>
      </c>
      <c r="B17" s="3">
        <v>0</v>
      </c>
      <c r="C17" s="4">
        <v>0</v>
      </c>
      <c r="D17" s="17">
        <v>0</v>
      </c>
      <c r="E17" s="17">
        <v>0</v>
      </c>
      <c r="F17" s="17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8">
        <v>0</v>
      </c>
    </row>
    <row r="18" spans="1:13">
      <c r="A18" s="5">
        <v>200000</v>
      </c>
      <c r="B18" s="3">
        <v>0</v>
      </c>
      <c r="C18" s="4">
        <v>0</v>
      </c>
      <c r="D18" s="17">
        <v>0</v>
      </c>
      <c r="E18" s="17">
        <v>0</v>
      </c>
      <c r="F18" s="17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8">
        <v>0</v>
      </c>
    </row>
    <row r="19" spans="1:13">
      <c r="A19" s="5">
        <v>200000</v>
      </c>
      <c r="B19" s="3">
        <v>0</v>
      </c>
      <c r="C19" s="4">
        <v>0</v>
      </c>
      <c r="D19" s="17">
        <v>0</v>
      </c>
      <c r="E19" s="17">
        <v>0</v>
      </c>
      <c r="F19" s="17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8">
        <v>0</v>
      </c>
    </row>
    <row r="20" spans="1:13">
      <c r="A20" s="5">
        <v>200000</v>
      </c>
      <c r="B20" s="3">
        <v>0</v>
      </c>
      <c r="C20" s="4">
        <v>0</v>
      </c>
      <c r="D20" s="17">
        <v>0</v>
      </c>
      <c r="E20" s="17">
        <v>0</v>
      </c>
      <c r="F20" s="17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8">
        <v>0</v>
      </c>
    </row>
    <row r="21" spans="1:13">
      <c r="A21" s="5">
        <v>200000</v>
      </c>
      <c r="B21" s="3">
        <v>0</v>
      </c>
      <c r="C21" s="4">
        <v>0</v>
      </c>
      <c r="D21" s="17">
        <v>0</v>
      </c>
      <c r="E21" s="17">
        <v>0</v>
      </c>
      <c r="F21" s="17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8">
        <v>0</v>
      </c>
    </row>
    <row r="22" spans="1:13">
      <c r="A22" s="5">
        <v>200000</v>
      </c>
      <c r="B22" s="3">
        <v>0</v>
      </c>
      <c r="C22" s="4">
        <v>0</v>
      </c>
      <c r="D22" s="17">
        <v>0</v>
      </c>
      <c r="E22" s="17">
        <v>0</v>
      </c>
      <c r="F22" s="17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8">
        <v>0</v>
      </c>
    </row>
    <row r="23" spans="1:13">
      <c r="A23" s="5">
        <v>200000</v>
      </c>
      <c r="B23" s="3">
        <v>0</v>
      </c>
      <c r="C23" s="4">
        <v>0</v>
      </c>
      <c r="D23" s="17">
        <v>0</v>
      </c>
      <c r="E23" s="17">
        <v>0</v>
      </c>
      <c r="F23" s="17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8">
        <v>0</v>
      </c>
    </row>
    <row r="24" spans="1:13">
      <c r="A24" s="5">
        <v>200000</v>
      </c>
      <c r="B24" s="3">
        <v>0</v>
      </c>
      <c r="C24" s="4">
        <v>0</v>
      </c>
      <c r="D24" s="17">
        <v>0</v>
      </c>
      <c r="E24" s="17">
        <v>0</v>
      </c>
      <c r="F24" s="17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8">
        <v>0</v>
      </c>
    </row>
    <row r="25" spans="1:13">
      <c r="A25" s="5">
        <v>200000</v>
      </c>
      <c r="B25" s="3">
        <v>0</v>
      </c>
      <c r="C25" s="4">
        <v>0</v>
      </c>
      <c r="D25" s="17">
        <v>0</v>
      </c>
      <c r="E25" s="17">
        <v>0</v>
      </c>
      <c r="F25" s="17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8">
        <v>0</v>
      </c>
    </row>
    <row r="26" spans="1:13">
      <c r="A26" s="5">
        <v>200000</v>
      </c>
      <c r="B26" s="3">
        <v>0</v>
      </c>
      <c r="C26" s="4">
        <v>0</v>
      </c>
      <c r="D26" s="17">
        <v>0</v>
      </c>
      <c r="E26" s="17">
        <v>0</v>
      </c>
      <c r="F26" s="17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8">
        <v>0</v>
      </c>
    </row>
    <row r="27" spans="1:13">
      <c r="A27" s="5">
        <v>200000</v>
      </c>
      <c r="B27" s="3">
        <v>0</v>
      </c>
      <c r="C27" s="4">
        <v>0</v>
      </c>
      <c r="D27" s="17">
        <v>0</v>
      </c>
      <c r="E27" s="17">
        <v>0</v>
      </c>
      <c r="F27" s="17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8">
        <v>0</v>
      </c>
    </row>
    <row r="28" spans="1:13">
      <c r="A28" s="5">
        <v>200000</v>
      </c>
      <c r="B28" s="3">
        <v>0</v>
      </c>
      <c r="C28" s="4">
        <v>0</v>
      </c>
      <c r="D28" s="17">
        <v>0</v>
      </c>
      <c r="E28" s="17">
        <v>0</v>
      </c>
      <c r="F28" s="17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8">
        <v>0</v>
      </c>
    </row>
    <row r="29" spans="1:13">
      <c r="A29" s="5">
        <v>200000</v>
      </c>
      <c r="B29" s="3">
        <v>0</v>
      </c>
      <c r="C29" s="4">
        <v>0</v>
      </c>
      <c r="D29" s="17">
        <v>0</v>
      </c>
      <c r="E29" s="17">
        <v>0</v>
      </c>
      <c r="F29" s="17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8">
        <v>0</v>
      </c>
    </row>
    <row r="30" spans="1:13">
      <c r="A30" s="5">
        <v>200000</v>
      </c>
      <c r="B30" s="3">
        <v>0</v>
      </c>
      <c r="C30" s="4">
        <v>0</v>
      </c>
      <c r="D30" s="17">
        <v>0</v>
      </c>
      <c r="E30" s="17">
        <v>0</v>
      </c>
      <c r="F30" s="17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8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1100000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1100000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1100000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1100000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1100000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1100000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1100000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1100000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1100000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1100000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1100000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1100000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1100000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1100000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1100000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1100000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1100000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1100000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1100000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1100000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1100000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1100000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1100000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1100000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1100000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1100000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1100000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1100000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1100000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1100000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300000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300000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300000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300000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300000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300000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300000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300000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300000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300000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300000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300000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300000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300000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300000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300000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300000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300000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300000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300000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300000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300000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300000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300000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300000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300000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300000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300000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300000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300000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700000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400000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400000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400000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400000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400000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400000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400000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400000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400000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400000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400000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400000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400000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400000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400000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400000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400000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400000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400000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400000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400000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400000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400000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400000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400000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400000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400000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400000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400000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400000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800000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500000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500000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500000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500000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500000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500000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500000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500000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500000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500000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500000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500000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500000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500000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500000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500000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500000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500000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500000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500000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500000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500000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500000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500000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500000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500000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500000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500000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500000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500000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600000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600000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600000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600000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600000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600000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600000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600000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600000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600000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600000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600000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600000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600000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600000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600000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600000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600000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600000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600000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600000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600000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600000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600000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600000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600000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600000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600000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600000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600000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700000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700000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700000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700000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700000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700000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700000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700000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700000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700000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700000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700000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700000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700000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700000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700000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700000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700000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700000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700000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700000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700000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700000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700000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700000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700000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700000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700000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700000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700000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690000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800000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800000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800000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800000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800000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800000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800000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800000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800000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800000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800000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800000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800000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800000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800000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800000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800000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800000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800000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800000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800000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800000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800000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800000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800000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800000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800000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800000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800000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800000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900000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900000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900000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900000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900000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900000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900000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900000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900000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900000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900000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900000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900000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900000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900000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900000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900000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900000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900000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900000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900000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900000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900000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900000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900000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900000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900000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900000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900000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900000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1000000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1000000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1000000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1000000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1000000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1000000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1000000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1000000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1000000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1000000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1000000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1000000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1000000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1000000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1000000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1000000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1000000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1000000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1000000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1000000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1000000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1000000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1000000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1000000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1000000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1000000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1000000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1000000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1000000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1000000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2021-08-12T17:20:54Z</dcterms:modified>
</cp:coreProperties>
</file>